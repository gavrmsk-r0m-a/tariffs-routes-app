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N:\Опер Отдел\Общая папка\!Отчеты, тарифы, СМС\"/>
    </mc:Choice>
  </mc:AlternateContent>
  <xr:revisionPtr revIDLastSave="0" documentId="13_ncr:1_{1D3AB459-6B75-48F4-81A5-D75BE1563C28}" xr6:coauthVersionLast="47" xr6:coauthVersionMax="47" xr10:uidLastSave="{00000000-0000-0000-0000-000000000000}"/>
  <workbookProtection workbookAlgorithmName="SHA-512" workbookHashValue="FMhqKTIxIQnuTv1kHtVRPRTgeTGODkk0DlLm/8vXRdrDY6bsFxUB/WM0Cn21pTTrh7wQv7LqqMf9PTYRrm3maw==" workbookSaltValue="92gIOy9QMUnNEMXwly7etA==" workbookSpinCount="100000" lockStructure="1"/>
  <bookViews>
    <workbookView xWindow="-120" yWindow="-120" windowWidth="29040" windowHeight="15840" xr2:uid="{00000000-000D-0000-FFFF-FFFF00000000}"/>
  </bookViews>
  <sheets>
    <sheet name="Маршруты" sheetId="5" r:id="rId1"/>
    <sheet name="Лист1" sheetId="1" state="hidden" r:id="rId2"/>
    <sheet name="Лист2" sheetId="2" state="hidden" r:id="rId3"/>
  </sheets>
  <definedNames>
    <definedName name="_xlnm._FilterDatabase" localSheetId="2" hidden="1">Лист2!$A$2:$H$54</definedName>
    <definedName name="_xlnm._FilterDatabase" localSheetId="0" hidden="1">Маршруты!$A$4:$J$447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5" l="1"/>
  <c r="K47" i="5"/>
  <c r="E59" i="5"/>
  <c r="K59" i="5"/>
  <c r="K10" i="5"/>
  <c r="E29" i="5"/>
  <c r="K11" i="5"/>
  <c r="K313" i="5"/>
  <c r="E50" i="5"/>
  <c r="K50" i="5"/>
  <c r="K119" i="5"/>
  <c r="K117" i="5"/>
  <c r="E6" i="5"/>
  <c r="E8" i="5"/>
  <c r="E9" i="5"/>
  <c r="K118" i="5"/>
  <c r="K9" i="5"/>
  <c r="E331" i="5"/>
  <c r="K331" i="5"/>
  <c r="K6" i="5"/>
  <c r="K121" i="5"/>
  <c r="K312" i="5"/>
  <c r="K336" i="5"/>
  <c r="E337" i="5" l="1"/>
  <c r="K337" i="5"/>
  <c r="K116" i="5"/>
  <c r="E338" i="5"/>
  <c r="K338" i="5"/>
  <c r="E339" i="5"/>
  <c r="K339" i="5"/>
  <c r="K263" i="5"/>
  <c r="K262" i="5"/>
  <c r="E340" i="5"/>
  <c r="K340" i="5"/>
  <c r="E100" i="5"/>
  <c r="K100" i="5"/>
  <c r="E129" i="5"/>
  <c r="K129" i="5"/>
  <c r="K33" i="5"/>
  <c r="K311" i="5"/>
  <c r="E128" i="5"/>
  <c r="K128" i="5"/>
  <c r="E298" i="5"/>
  <c r="K298" i="5"/>
  <c r="K125" i="5"/>
  <c r="E126" i="5"/>
  <c r="K126" i="5"/>
  <c r="E187" i="5"/>
  <c r="K187" i="5"/>
  <c r="K294" i="5"/>
  <c r="E30" i="5"/>
  <c r="E27" i="5"/>
  <c r="K27" i="5"/>
  <c r="E127" i="5"/>
  <c r="K325" i="5"/>
  <c r="E120" i="5" l="1"/>
  <c r="K120" i="5" s="1"/>
  <c r="E280" i="5"/>
  <c r="K280" i="5"/>
  <c r="K12" i="5"/>
  <c r="E271" i="5"/>
  <c r="K271" i="5"/>
  <c r="E114" i="5"/>
  <c r="K114" i="5"/>
  <c r="K321" i="5"/>
  <c r="K215" i="5"/>
  <c r="K34" i="5"/>
  <c r="K281" i="5"/>
  <c r="K318" i="5"/>
  <c r="E279" i="5"/>
  <c r="E278" i="5"/>
  <c r="E277" i="5"/>
  <c r="K277" i="5"/>
  <c r="K278" i="5"/>
  <c r="K279" i="5"/>
  <c r="E253" i="5"/>
  <c r="K253" i="5"/>
  <c r="E251" i="5"/>
  <c r="K251" i="5"/>
  <c r="E252" i="5"/>
  <c r="K252" i="5"/>
  <c r="E254" i="5"/>
  <c r="K254" i="5"/>
  <c r="E285" i="5"/>
  <c r="K285" i="5"/>
  <c r="E286" i="5"/>
  <c r="K286" i="5"/>
  <c r="E287" i="5"/>
  <c r="K287" i="5"/>
  <c r="E227" i="5"/>
  <c r="K227" i="5"/>
  <c r="K78" i="5"/>
  <c r="E306" i="5"/>
  <c r="K306" i="5"/>
  <c r="E105" i="5"/>
  <c r="K105" i="5"/>
  <c r="E106" i="5"/>
  <c r="K106" i="5"/>
  <c r="E107" i="5"/>
  <c r="K107" i="5"/>
  <c r="K156" i="5"/>
  <c r="E308" i="5"/>
  <c r="K308" i="5"/>
  <c r="E66" i="5"/>
  <c r="K66" i="5"/>
  <c r="E67" i="5"/>
  <c r="K67" i="5"/>
  <c r="E68" i="5"/>
  <c r="K68" i="5"/>
  <c r="E185" i="5"/>
  <c r="K185" i="5"/>
  <c r="E186" i="5"/>
  <c r="K186" i="5"/>
  <c r="E188" i="5"/>
  <c r="K188" i="5"/>
  <c r="K307" i="5"/>
  <c r="E305" i="5"/>
  <c r="K305" i="5"/>
  <c r="E85" i="5"/>
  <c r="K85" i="5"/>
  <c r="E93" i="5"/>
  <c r="K93" i="5"/>
  <c r="E94" i="5"/>
  <c r="K94" i="5"/>
  <c r="K250" i="5"/>
  <c r="K249" i="5"/>
  <c r="E21" i="5"/>
  <c r="K21" i="5"/>
  <c r="E22" i="5"/>
  <c r="K22" i="5"/>
  <c r="E23" i="5"/>
  <c r="K23" i="5"/>
  <c r="E24" i="5"/>
  <c r="K24" i="5"/>
  <c r="K151" i="5"/>
  <c r="E270" i="5"/>
  <c r="K270" i="5"/>
  <c r="E248" i="5"/>
  <c r="K248" i="5"/>
  <c r="E146" i="5"/>
  <c r="K146" i="5"/>
  <c r="K276" i="5"/>
  <c r="E258" i="5"/>
  <c r="E177" i="5"/>
  <c r="E167" i="5"/>
  <c r="E42" i="5"/>
  <c r="K167" i="5"/>
  <c r="E104" i="5"/>
  <c r="K104" i="5"/>
  <c r="E355" i="5"/>
  <c r="K355" i="5"/>
  <c r="E353" i="5"/>
  <c r="K353" i="5"/>
  <c r="E354" i="5"/>
  <c r="K354" i="5"/>
  <c r="E212" i="5"/>
  <c r="K212" i="5"/>
  <c r="E52" i="5"/>
  <c r="K52" i="5"/>
  <c r="E53" i="5"/>
  <c r="K53" i="5"/>
  <c r="E54" i="5"/>
  <c r="K54" i="5"/>
  <c r="E55" i="5"/>
  <c r="K55" i="5"/>
  <c r="E162" i="5"/>
  <c r="K162" i="5" s="1"/>
  <c r="K42" i="5"/>
  <c r="K87" i="5"/>
  <c r="E17" i="5"/>
  <c r="E16" i="5"/>
  <c r="K16" i="5"/>
  <c r="K17" i="5"/>
  <c r="E83" i="5"/>
  <c r="K83" i="5"/>
  <c r="E79" i="5"/>
  <c r="K79" i="5"/>
  <c r="K89" i="5"/>
  <c r="E113" i="5"/>
  <c r="K113" i="5"/>
  <c r="E112" i="5"/>
  <c r="K112" i="5"/>
  <c r="E82" i="5"/>
  <c r="K82" i="5" s="1"/>
  <c r="K62" i="5"/>
  <c r="K65" i="5"/>
  <c r="K63" i="5"/>
  <c r="K64" i="5"/>
  <c r="E345" i="5"/>
  <c r="K345" i="5" s="1"/>
  <c r="E344" i="5"/>
  <c r="K344" i="5" s="1"/>
  <c r="E274" i="5"/>
  <c r="K274" i="5"/>
  <c r="E275" i="5"/>
  <c r="K275" i="5"/>
  <c r="E320" i="5"/>
  <c r="K320" i="5"/>
  <c r="K134" i="5"/>
  <c r="E443" i="5"/>
  <c r="K443" i="5"/>
  <c r="E179" i="5"/>
  <c r="K179" i="5" s="1"/>
  <c r="K86" i="5" l="1"/>
  <c r="K13" i="5"/>
  <c r="E178" i="5"/>
  <c r="K178" i="5"/>
  <c r="E214" i="5"/>
  <c r="K214" i="5"/>
  <c r="E88" i="5"/>
  <c r="K88" i="5"/>
  <c r="E32" i="5"/>
  <c r="K32" i="5"/>
  <c r="E335" i="5"/>
  <c r="K335" i="5"/>
  <c r="E198" i="5"/>
  <c r="K198" i="5"/>
  <c r="E199" i="5"/>
  <c r="K199" i="5"/>
  <c r="E200" i="5"/>
  <c r="K200" i="5"/>
  <c r="E171" i="5"/>
  <c r="K171" i="5"/>
  <c r="E255" i="5"/>
  <c r="K255" i="5"/>
  <c r="E256" i="5"/>
  <c r="K256" i="5"/>
  <c r="E257" i="5"/>
  <c r="K257" i="5"/>
  <c r="K258" i="5"/>
  <c r="E76" i="5"/>
  <c r="K76" i="5"/>
  <c r="K267" i="5"/>
  <c r="E442" i="5"/>
  <c r="K442" i="5"/>
  <c r="E410" i="5"/>
  <c r="E411" i="5"/>
  <c r="E412" i="5"/>
  <c r="E413" i="5"/>
  <c r="E414" i="5"/>
  <c r="E415" i="5"/>
  <c r="E416" i="5"/>
  <c r="E417" i="5"/>
  <c r="E247" i="5"/>
  <c r="K247" i="5" s="1"/>
  <c r="E246" i="5"/>
  <c r="K246" i="5" s="1"/>
  <c r="E245" i="5"/>
  <c r="K245" i="5" s="1"/>
  <c r="E244" i="5"/>
  <c r="K244" i="5" s="1"/>
  <c r="E243" i="5"/>
  <c r="K243" i="5" s="1"/>
  <c r="E242" i="5"/>
  <c r="K242" i="5" s="1"/>
  <c r="E241" i="5"/>
  <c r="K241" i="5" s="1"/>
  <c r="E240" i="5"/>
  <c r="K240" i="5" s="1"/>
  <c r="E168" i="5"/>
  <c r="K168" i="5"/>
  <c r="E169" i="5"/>
  <c r="K169" i="5"/>
  <c r="E170" i="5"/>
  <c r="K170" i="5"/>
  <c r="K410" i="5"/>
  <c r="K411" i="5"/>
  <c r="K412" i="5"/>
  <c r="K413" i="5"/>
  <c r="K414" i="5"/>
  <c r="K415" i="5"/>
  <c r="K416" i="5"/>
  <c r="K417" i="5"/>
  <c r="E334" i="5"/>
  <c r="K334" i="5"/>
  <c r="E303" i="5"/>
  <c r="K303" i="5"/>
  <c r="E304" i="5"/>
  <c r="K304" i="5"/>
  <c r="E210" i="5"/>
  <c r="K210" i="5"/>
  <c r="E346" i="5"/>
  <c r="K346" i="5" s="1"/>
  <c r="E163" i="5"/>
  <c r="K163" i="5" s="1"/>
  <c r="E164" i="5"/>
  <c r="K164" i="5" s="1"/>
  <c r="E165" i="5"/>
  <c r="K165" i="5" s="1"/>
  <c r="E166" i="5"/>
  <c r="K166" i="5" s="1"/>
  <c r="E91" i="5"/>
  <c r="K91" i="5" s="1"/>
  <c r="E194" i="5" l="1"/>
  <c r="K194" i="5" s="1"/>
  <c r="E193" i="5"/>
  <c r="K193" i="5" s="1"/>
  <c r="E192" i="5"/>
  <c r="K192" i="5" s="1"/>
  <c r="E41" i="5"/>
  <c r="K41" i="5" s="1"/>
  <c r="E40" i="5"/>
  <c r="K40" i="5" s="1"/>
  <c r="E39" i="5"/>
  <c r="K39" i="5" s="1"/>
  <c r="E75" i="5"/>
  <c r="K75" i="5" s="1"/>
  <c r="E380" i="5"/>
  <c r="K380" i="5" s="1"/>
  <c r="E379" i="5"/>
  <c r="K379" i="5" s="1"/>
  <c r="E378" i="5"/>
  <c r="K378" i="5" s="1"/>
  <c r="E395" i="5"/>
  <c r="K395" i="5" s="1"/>
  <c r="E394" i="5"/>
  <c r="K394" i="5" s="1"/>
  <c r="E393" i="5"/>
  <c r="K393" i="5" s="1"/>
  <c r="E383" i="5"/>
  <c r="K383" i="5" s="1"/>
  <c r="E382" i="5"/>
  <c r="K382" i="5" s="1"/>
  <c r="E381" i="5"/>
  <c r="K381" i="5" s="1"/>
  <c r="E238" i="5"/>
  <c r="K238" i="5" s="1"/>
  <c r="E233" i="5"/>
  <c r="K233" i="5" s="1"/>
  <c r="E232" i="5"/>
  <c r="K232" i="5" s="1"/>
  <c r="E225" i="5"/>
  <c r="K225" i="5" s="1"/>
  <c r="E92" i="5"/>
  <c r="K92" i="5" s="1"/>
  <c r="E90" i="5"/>
  <c r="K90" i="5" s="1"/>
  <c r="E358" i="5"/>
  <c r="K358" i="5" s="1"/>
  <c r="E357" i="5"/>
  <c r="K357" i="5" s="1"/>
  <c r="E356" i="5"/>
  <c r="K356" i="5" s="1"/>
  <c r="K177" i="5" l="1"/>
  <c r="E293" i="5"/>
  <c r="K293" i="5" s="1"/>
  <c r="E292" i="5"/>
  <c r="K292" i="5" s="1"/>
  <c r="K219" i="5"/>
  <c r="E191" i="5"/>
  <c r="K191" i="5" s="1"/>
  <c r="E190" i="5"/>
  <c r="K190" i="5" s="1"/>
  <c r="E189" i="5"/>
  <c r="K189" i="5" s="1"/>
  <c r="E370" i="5"/>
  <c r="K370" i="5" s="1"/>
  <c r="E371" i="5"/>
  <c r="K371" i="5" s="1"/>
  <c r="K291" i="5"/>
  <c r="E25" i="5"/>
  <c r="K25" i="5" s="1"/>
  <c r="E288" i="5"/>
  <c r="K288" i="5" s="1"/>
  <c r="E289" i="5"/>
  <c r="K289" i="5" s="1"/>
  <c r="E290" i="5"/>
  <c r="K290" i="5" s="1"/>
  <c r="E220" i="5"/>
  <c r="K220" i="5" s="1"/>
  <c r="E221" i="5"/>
  <c r="K221" i="5" s="1"/>
  <c r="E222" i="5"/>
  <c r="K222" i="5" s="1"/>
  <c r="E282" i="5"/>
  <c r="K282" i="5" s="1"/>
  <c r="E283" i="5"/>
  <c r="K283" i="5" s="1"/>
  <c r="E284" i="5"/>
  <c r="K284" i="5" s="1"/>
  <c r="E377" i="5"/>
  <c r="K377" i="5" s="1"/>
  <c r="E44" i="5"/>
  <c r="K44" i="5" s="1"/>
  <c r="E43" i="5"/>
  <c r="K43" i="5" s="1"/>
  <c r="E45" i="5"/>
  <c r="K45" i="5" s="1"/>
  <c r="E360" i="5"/>
  <c r="K360" i="5" s="1"/>
  <c r="E361" i="5"/>
  <c r="K361" i="5" s="1"/>
  <c r="E359" i="5"/>
  <c r="K359" i="5" s="1"/>
  <c r="E362" i="5"/>
  <c r="K362" i="5" s="1"/>
  <c r="E363" i="5"/>
  <c r="K363" i="5" s="1"/>
  <c r="E446" i="5"/>
  <c r="K446" i="5" s="1"/>
  <c r="E445" i="5"/>
  <c r="K445" i="5" s="1"/>
  <c r="E444" i="5"/>
  <c r="K444" i="5" s="1"/>
  <c r="E405" i="5"/>
  <c r="K405" i="5" s="1"/>
  <c r="E441" i="5"/>
  <c r="K441" i="5" s="1"/>
  <c r="E176" i="5"/>
  <c r="K176" i="5" s="1"/>
  <c r="E175" i="5"/>
  <c r="K175" i="5" s="1"/>
  <c r="E224" i="5"/>
  <c r="K224" i="5" s="1"/>
  <c r="E230" i="5"/>
  <c r="K230" i="5" s="1"/>
  <c r="E231" i="5"/>
  <c r="K231" i="5" s="1"/>
  <c r="E237" i="5"/>
  <c r="K237" i="5" s="1"/>
  <c r="E423" i="5"/>
  <c r="K423" i="5" s="1"/>
  <c r="E433" i="5"/>
  <c r="K433" i="5" s="1"/>
  <c r="E434" i="5"/>
  <c r="K434" i="5" s="1"/>
  <c r="E440" i="5"/>
  <c r="K440" i="5" s="1"/>
  <c r="E236" i="5"/>
  <c r="K236" i="5" s="1"/>
  <c r="E229" i="5"/>
  <c r="K229" i="5" s="1"/>
  <c r="E228" i="5"/>
  <c r="K228" i="5" s="1"/>
  <c r="E223" i="5"/>
  <c r="K223" i="5" s="1"/>
  <c r="K97" i="5"/>
  <c r="K95" i="5"/>
  <c r="E173" i="5"/>
  <c r="K173" i="5" s="1"/>
  <c r="K260" i="5"/>
  <c r="K259" i="5"/>
  <c r="E51" i="5"/>
  <c r="K51" i="5" s="1"/>
  <c r="E145" i="5"/>
  <c r="K145" i="5" s="1"/>
  <c r="E103" i="5"/>
  <c r="K103" i="5" s="1"/>
  <c r="E343" i="5"/>
  <c r="K343" i="5" s="1"/>
  <c r="E71" i="5"/>
  <c r="K71" i="5" s="1"/>
  <c r="E133" i="5"/>
  <c r="K133" i="5" s="1"/>
  <c r="E182" i="5"/>
  <c r="K182" i="5" s="1"/>
  <c r="E197" i="5"/>
  <c r="K197" i="5" s="1"/>
  <c r="E297" i="5"/>
  <c r="K297" i="5" s="1"/>
  <c r="E49" i="5"/>
  <c r="K49" i="5" s="1"/>
  <c r="E144" i="5"/>
  <c r="K144" i="5" s="1"/>
  <c r="E102" i="5"/>
  <c r="K102" i="5" s="1"/>
  <c r="E342" i="5"/>
  <c r="K342" i="5" s="1"/>
  <c r="E70" i="5"/>
  <c r="K70" i="5" s="1"/>
  <c r="E132" i="5"/>
  <c r="K132" i="5" s="1"/>
  <c r="E181" i="5"/>
  <c r="K181" i="5" s="1"/>
  <c r="E196" i="5"/>
  <c r="K196" i="5" s="1"/>
  <c r="E352" i="5"/>
  <c r="K352" i="5" s="1"/>
  <c r="E296" i="5"/>
  <c r="K296" i="5" s="1"/>
  <c r="E295" i="5"/>
  <c r="K295" i="5" s="1"/>
  <c r="E351" i="5"/>
  <c r="K351" i="5" s="1"/>
  <c r="E195" i="5"/>
  <c r="K195" i="5" s="1"/>
  <c r="E180" i="5"/>
  <c r="K180" i="5" s="1"/>
  <c r="E131" i="5"/>
  <c r="K131" i="5" s="1"/>
  <c r="E69" i="5"/>
  <c r="K69" i="5" s="1"/>
  <c r="E341" i="5"/>
  <c r="K341" i="5" s="1"/>
  <c r="E101" i="5"/>
  <c r="K101" i="5" s="1"/>
  <c r="E143" i="5"/>
  <c r="K143" i="5" s="1"/>
  <c r="E46" i="5"/>
  <c r="K46" i="5" s="1"/>
  <c r="K265" i="5"/>
  <c r="E154" i="5"/>
  <c r="K154" i="5" s="1"/>
  <c r="E20" i="5" l="1"/>
  <c r="K20" i="5" s="1"/>
  <c r="E18" i="5"/>
  <c r="K18" i="5" s="1"/>
  <c r="E19" i="5"/>
  <c r="K19" i="5" s="1"/>
  <c r="E72" i="5"/>
  <c r="K72" i="5" s="1"/>
  <c r="E73" i="5"/>
  <c r="K73" i="5" s="1"/>
  <c r="E74" i="5"/>
  <c r="K74" i="5" s="1"/>
  <c r="E372" i="5"/>
  <c r="K372" i="5" s="1"/>
  <c r="E373" i="5"/>
  <c r="K373" i="5" s="1"/>
  <c r="E152" i="5"/>
  <c r="K152" i="5" s="1"/>
  <c r="E419" i="5" l="1"/>
  <c r="K419" i="5" s="1"/>
  <c r="E426" i="5"/>
  <c r="K426" i="5" s="1"/>
  <c r="E436" i="5"/>
  <c r="K436" i="5" s="1"/>
  <c r="K384" i="5" l="1"/>
  <c r="K385" i="5"/>
  <c r="E374" i="5" l="1"/>
  <c r="K374" i="5" s="1"/>
  <c r="K348" i="5" l="1"/>
  <c r="K404" i="5" l="1"/>
  <c r="E302" i="5" l="1"/>
  <c r="K302" i="5" s="1"/>
  <c r="E301" i="5"/>
  <c r="K301" i="5" s="1"/>
  <c r="E299" i="5"/>
  <c r="K299" i="5" s="1"/>
  <c r="E300" i="5"/>
  <c r="K300" i="5" s="1"/>
  <c r="E390" i="5"/>
  <c r="K390" i="5" s="1"/>
  <c r="K391" i="5"/>
  <c r="E387" i="5"/>
  <c r="K387" i="5" s="1"/>
  <c r="E389" i="5"/>
  <c r="K389" i="5" s="1"/>
  <c r="E392" i="5" l="1"/>
  <c r="K392" i="5" s="1"/>
  <c r="K386" i="5"/>
  <c r="E388" i="5"/>
  <c r="K388" i="5" s="1"/>
  <c r="E439" i="5" l="1"/>
  <c r="K439" i="5" s="1"/>
  <c r="E422" i="5"/>
  <c r="K422" i="5" s="1"/>
  <c r="E432" i="5"/>
  <c r="K432" i="5" s="1"/>
  <c r="E431" i="5"/>
  <c r="K431" i="5" s="1"/>
  <c r="E203" i="5" l="1"/>
  <c r="K203" i="5" s="1"/>
  <c r="K147" i="5" l="1"/>
  <c r="K31" i="5" l="1"/>
  <c r="E365" i="5" l="1"/>
  <c r="K365" i="5" s="1"/>
  <c r="E366" i="5"/>
  <c r="K366" i="5" s="1"/>
  <c r="E364" i="5" l="1"/>
  <c r="K364" i="5" s="1"/>
  <c r="E367" i="5"/>
  <c r="K367" i="5" s="1"/>
  <c r="E406" i="5" l="1"/>
  <c r="K406" i="5" s="1"/>
  <c r="E408" i="5"/>
  <c r="K408" i="5" s="1"/>
  <c r="K407" i="5" l="1"/>
  <c r="E424" i="5" l="1"/>
  <c r="K424" i="5" s="1"/>
  <c r="E425" i="5"/>
  <c r="K425" i="5" s="1"/>
  <c r="E418" i="5"/>
  <c r="E435" i="5"/>
  <c r="K435" i="5" s="1"/>
  <c r="K418" i="5"/>
  <c r="K376" i="5"/>
  <c r="K155" i="5"/>
  <c r="K153" i="5"/>
  <c r="K218" i="5"/>
  <c r="K217" i="5"/>
  <c r="K409" i="5"/>
  <c r="K261" i="5"/>
  <c r="K264" i="5"/>
  <c r="K266" i="5"/>
  <c r="K347" i="5"/>
  <c r="E329" i="5" l="1"/>
  <c r="K329" i="5" s="1"/>
  <c r="E327" i="5"/>
  <c r="K327" i="5" s="1"/>
  <c r="E328" i="5"/>
  <c r="K328" i="5" s="1"/>
  <c r="E403" i="5" l="1"/>
  <c r="K403" i="5" s="1"/>
  <c r="E158" i="5" l="1"/>
  <c r="K158" i="5" s="1"/>
  <c r="E159" i="5"/>
  <c r="K159" i="5" s="1"/>
  <c r="E397" i="5"/>
  <c r="K397" i="5" s="1"/>
  <c r="E183" i="5" l="1"/>
  <c r="K183" i="5" s="1"/>
  <c r="E184" i="5"/>
  <c r="K184" i="5" s="1"/>
  <c r="E398" i="5" l="1"/>
  <c r="K398" i="5" s="1"/>
  <c r="E399" i="5"/>
  <c r="K399" i="5" s="1"/>
  <c r="E400" i="5"/>
  <c r="K400" i="5" s="1"/>
  <c r="E60" i="5"/>
  <c r="K60" i="5" s="1"/>
  <c r="E26" i="5"/>
  <c r="K26" i="5" s="1"/>
  <c r="E28" i="5"/>
  <c r="K28" i="5" s="1"/>
  <c r="K272" i="5" l="1"/>
  <c r="E273" i="5"/>
  <c r="K273" i="5" s="1"/>
  <c r="E437" i="5" l="1"/>
  <c r="K437" i="5" s="1"/>
  <c r="E420" i="5"/>
  <c r="K420" i="5" s="1"/>
  <c r="E428" i="5"/>
  <c r="K428" i="5" s="1"/>
  <c r="E427" i="5"/>
  <c r="K427" i="5" s="1"/>
  <c r="E239" i="5"/>
  <c r="K239" i="5" s="1"/>
  <c r="E226" i="5"/>
  <c r="K226" i="5" s="1"/>
  <c r="E235" i="5"/>
  <c r="K235" i="5" s="1"/>
  <c r="E234" i="5"/>
  <c r="K234" i="5" s="1"/>
  <c r="E350" i="5" l="1"/>
  <c r="K350" i="5" s="1"/>
  <c r="E349" i="5"/>
  <c r="K349" i="5" s="1"/>
  <c r="E330" i="5"/>
  <c r="K330" i="5" s="1"/>
  <c r="E333" i="5"/>
  <c r="K333" i="5" s="1"/>
  <c r="E332" i="5"/>
  <c r="K332" i="5" s="1"/>
  <c r="E326" i="5"/>
  <c r="K326" i="5" s="1"/>
  <c r="E322" i="5"/>
  <c r="K322" i="5" s="1"/>
  <c r="E324" i="5"/>
  <c r="K324" i="5" s="1"/>
  <c r="E323" i="5"/>
  <c r="K323" i="5" s="1"/>
  <c r="E319" i="5"/>
  <c r="K319" i="5" s="1"/>
  <c r="E315" i="5"/>
  <c r="K315" i="5" s="1"/>
  <c r="E317" i="5"/>
  <c r="K317" i="5" s="1"/>
  <c r="E316" i="5"/>
  <c r="K316" i="5" s="1"/>
  <c r="E314" i="5"/>
  <c r="K314" i="5" s="1"/>
  <c r="K309" i="5"/>
  <c r="E310" i="5"/>
  <c r="K310" i="5" s="1"/>
  <c r="E268" i="5"/>
  <c r="K268" i="5" s="1"/>
  <c r="E269" i="5"/>
  <c r="K269" i="5" s="1"/>
  <c r="E438" i="5"/>
  <c r="K438" i="5" s="1"/>
  <c r="E421" i="5"/>
  <c r="K421" i="5" s="1"/>
  <c r="E430" i="5"/>
  <c r="K430" i="5" s="1"/>
  <c r="E429" i="5"/>
  <c r="K429" i="5" s="1"/>
  <c r="E213" i="5"/>
  <c r="K213" i="5" s="1"/>
  <c r="E208" i="5"/>
  <c r="K208" i="5" s="1"/>
  <c r="E211" i="5"/>
  <c r="K211" i="5" s="1"/>
  <c r="E209" i="5"/>
  <c r="K209" i="5" s="1"/>
  <c r="E207" i="5"/>
  <c r="K207" i="5" s="1"/>
  <c r="E204" i="5"/>
  <c r="K204" i="5" s="1"/>
  <c r="E206" i="5"/>
  <c r="K206" i="5" s="1"/>
  <c r="E205" i="5"/>
  <c r="K205" i="5" s="1"/>
  <c r="E201" i="5"/>
  <c r="K201" i="5" s="1"/>
  <c r="E202" i="5"/>
  <c r="K202" i="5" s="1"/>
  <c r="E172" i="5"/>
  <c r="K172" i="5" s="1"/>
  <c r="E174" i="5"/>
  <c r="K174" i="5" s="1"/>
  <c r="E161" i="5"/>
  <c r="K161" i="5" s="1"/>
  <c r="E160" i="5"/>
  <c r="K160" i="5" s="1"/>
  <c r="E369" i="5"/>
  <c r="K369" i="5" s="1"/>
  <c r="E157" i="5"/>
  <c r="K157" i="5" s="1"/>
  <c r="E368" i="5"/>
  <c r="K368" i="5" s="1"/>
  <c r="E402" i="5"/>
  <c r="K402" i="5" s="1"/>
  <c r="E150" i="5"/>
  <c r="K150" i="5" s="1"/>
  <c r="E149" i="5"/>
  <c r="K149" i="5" s="1"/>
  <c r="E401" i="5"/>
  <c r="K401" i="5" s="1"/>
  <c r="E141" i="5"/>
  <c r="K141" i="5" s="1"/>
  <c r="E142" i="5"/>
  <c r="K142" i="5" s="1"/>
  <c r="E138" i="5"/>
  <c r="K138" i="5" s="1"/>
  <c r="E140" i="5"/>
  <c r="K140" i="5" s="1"/>
  <c r="E139" i="5"/>
  <c r="K139" i="5" s="1"/>
  <c r="E396" i="5"/>
  <c r="K396" i="5" s="1"/>
  <c r="E137" i="5"/>
  <c r="K137" i="5" s="1"/>
  <c r="E136" i="5"/>
  <c r="K136" i="5" s="1"/>
  <c r="E135" i="5"/>
  <c r="K135" i="5" s="1"/>
  <c r="E115" i="5"/>
  <c r="K115" i="5" s="1"/>
  <c r="E130" i="5"/>
  <c r="K130" i="5" s="1"/>
  <c r="E124" i="5"/>
  <c r="K124" i="5" s="1"/>
  <c r="E123" i="5"/>
  <c r="K123" i="5" s="1"/>
  <c r="E122" i="5"/>
  <c r="K122" i="5" s="1"/>
  <c r="E111" i="5"/>
  <c r="K111" i="5" s="1"/>
  <c r="E108" i="5"/>
  <c r="K108" i="5" s="1"/>
  <c r="E110" i="5"/>
  <c r="K110" i="5" s="1"/>
  <c r="E109" i="5"/>
  <c r="K109" i="5" s="1"/>
  <c r="E99" i="5"/>
  <c r="K99" i="5" s="1"/>
  <c r="E96" i="5"/>
  <c r="K96" i="5" s="1"/>
  <c r="E98" i="5"/>
  <c r="K98" i="5" s="1"/>
  <c r="E84" i="5"/>
  <c r="K84" i="5" s="1"/>
  <c r="E77" i="5"/>
  <c r="K77" i="5" s="1"/>
  <c r="E81" i="5"/>
  <c r="K81" i="5" s="1"/>
  <c r="E80" i="5"/>
  <c r="K80" i="5" s="1"/>
  <c r="E61" i="5"/>
  <c r="K61" i="5" s="1"/>
  <c r="E56" i="5"/>
  <c r="K56" i="5" s="1"/>
  <c r="E58" i="5"/>
  <c r="K58" i="5" s="1"/>
  <c r="E57" i="5"/>
  <c r="K57" i="5" s="1"/>
  <c r="E38" i="5"/>
  <c r="K38" i="5" s="1"/>
  <c r="E35" i="5"/>
  <c r="K35" i="5" s="1"/>
  <c r="E37" i="5"/>
  <c r="K37" i="5" s="1"/>
  <c r="E36" i="5"/>
  <c r="K36" i="5" s="1"/>
  <c r="E375" i="5"/>
  <c r="K375" i="5" s="1"/>
  <c r="E14" i="5"/>
  <c r="K14" i="5" s="1"/>
  <c r="E15" i="5"/>
  <c r="K15" i="5" s="1"/>
  <c r="E5" i="5"/>
  <c r="K5" i="5" s="1"/>
  <c r="K8" i="5"/>
  <c r="K7" i="5"/>
  <c r="D51" i="2" l="1"/>
  <c r="I51" i="2" s="1"/>
  <c r="D52" i="2"/>
  <c r="I52" i="2" s="1"/>
  <c r="D53" i="2"/>
  <c r="I53" i="2" s="1"/>
  <c r="D54" i="2"/>
  <c r="I54" i="2" s="1"/>
  <c r="D48" i="2"/>
  <c r="I48" i="2" s="1"/>
  <c r="D49" i="2"/>
  <c r="I49" i="2" s="1"/>
  <c r="D50" i="2"/>
  <c r="I50" i="2" s="1"/>
  <c r="D47" i="2"/>
  <c r="I47" i="2" s="1"/>
  <c r="D44" i="2"/>
  <c r="I44" i="2" s="1"/>
  <c r="D45" i="2"/>
  <c r="I45" i="2" s="1"/>
  <c r="D46" i="2"/>
  <c r="I46" i="2" s="1"/>
  <c r="D43" i="2"/>
  <c r="I43" i="2" s="1"/>
  <c r="D42" i="2"/>
  <c r="I42" i="2" s="1"/>
  <c r="D41" i="2"/>
  <c r="I41" i="2" s="1"/>
  <c r="D40" i="2"/>
  <c r="I40" i="2" s="1"/>
  <c r="D39" i="2" l="1"/>
  <c r="I39" i="2" s="1"/>
  <c r="D38" i="2"/>
  <c r="I38" i="2" s="1"/>
  <c r="D37" i="2"/>
  <c r="I37" i="2" s="1"/>
  <c r="D16" i="2"/>
  <c r="I16" i="2" s="1"/>
  <c r="D17" i="2" l="1"/>
  <c r="I17" i="2" s="1"/>
  <c r="D18" i="2"/>
  <c r="I18" i="2" s="1"/>
  <c r="D19" i="2"/>
  <c r="I19" i="2" s="1"/>
  <c r="D20" i="2"/>
  <c r="I20" i="2" s="1"/>
  <c r="D21" i="2"/>
  <c r="I21" i="2" s="1"/>
  <c r="D22" i="2"/>
  <c r="I22" i="2" s="1"/>
  <c r="D23" i="2"/>
  <c r="I23" i="2" s="1"/>
  <c r="D24" i="2"/>
  <c r="I24" i="2" s="1"/>
  <c r="D25" i="2"/>
  <c r="I25" i="2" s="1"/>
  <c r="D26" i="2"/>
  <c r="I26" i="2" s="1"/>
  <c r="D27" i="2"/>
  <c r="I27" i="2" s="1"/>
  <c r="D28" i="2"/>
  <c r="I28" i="2" s="1"/>
  <c r="D29" i="2"/>
  <c r="I29" i="2" s="1"/>
  <c r="D30" i="2"/>
  <c r="I30" i="2" s="1"/>
  <c r="D31" i="2"/>
  <c r="I31" i="2" s="1"/>
  <c r="D32" i="2"/>
  <c r="I32" i="2" s="1"/>
  <c r="D33" i="2"/>
  <c r="I33" i="2" s="1"/>
  <c r="D34" i="2"/>
  <c r="I34" i="2" s="1"/>
  <c r="D35" i="2"/>
  <c r="I35" i="2" s="1"/>
  <c r="D36" i="2"/>
  <c r="I36" i="2" s="1"/>
  <c r="D3" i="2"/>
  <c r="I3" i="2" s="1"/>
  <c r="D4" i="2"/>
  <c r="I4" i="2" s="1"/>
  <c r="D5" i="2"/>
  <c r="I5" i="2" s="1"/>
  <c r="D6" i="2"/>
  <c r="I6" i="2" s="1"/>
  <c r="D7" i="2"/>
  <c r="I7" i="2" s="1"/>
  <c r="D8" i="2"/>
  <c r="I8" i="2" s="1"/>
  <c r="D9" i="2"/>
  <c r="I9" i="2" s="1"/>
  <c r="D10" i="2"/>
  <c r="I10" i="2" s="1"/>
  <c r="D11" i="2"/>
  <c r="I11" i="2" s="1"/>
  <c r="D12" i="2"/>
  <c r="I12" i="2" s="1"/>
  <c r="D13" i="2"/>
  <c r="I13" i="2" s="1"/>
  <c r="D14" i="2"/>
  <c r="I14" i="2" s="1"/>
  <c r="D15" i="2"/>
  <c r="I15" i="2" s="1"/>
</calcChain>
</file>

<file path=xl/sharedStrings.xml><?xml version="1.0" encoding="utf-8"?>
<sst xmlns="http://schemas.openxmlformats.org/spreadsheetml/2006/main" count="3636" uniqueCount="434">
  <si>
    <t>Страна</t>
  </si>
  <si>
    <t>Провайдер</t>
  </si>
  <si>
    <t>АОН</t>
  </si>
  <si>
    <t>Страна_Провайдер_АОН_Префикс@</t>
  </si>
  <si>
    <t>Префикс</t>
  </si>
  <si>
    <t>Условия подстановки АОН-а</t>
  </si>
  <si>
    <t>Наличие ВЛ</t>
  </si>
  <si>
    <t>Sancom</t>
  </si>
  <si>
    <t>Zorra</t>
  </si>
  <si>
    <t>Miatel</t>
  </si>
  <si>
    <t>Inftele</t>
  </si>
  <si>
    <t>Шлюз</t>
  </si>
  <si>
    <t>0789</t>
  </si>
  <si>
    <t>0792</t>
  </si>
  <si>
    <t>0793</t>
  </si>
  <si>
    <t>0808</t>
  </si>
  <si>
    <t>0827</t>
  </si>
  <si>
    <t>Австрия</t>
  </si>
  <si>
    <t>Албания</t>
  </si>
  <si>
    <t>Болгария</t>
  </si>
  <si>
    <t>Венгрия</t>
  </si>
  <si>
    <t>Германия</t>
  </si>
  <si>
    <t>Греция</t>
  </si>
  <si>
    <t>Испания</t>
  </si>
  <si>
    <t>Италия</t>
  </si>
  <si>
    <t>Кипр</t>
  </si>
  <si>
    <t>Колумбия</t>
  </si>
  <si>
    <t>Косово</t>
  </si>
  <si>
    <t>Латвия</t>
  </si>
  <si>
    <t>Литва</t>
  </si>
  <si>
    <t>Македония</t>
  </si>
  <si>
    <t>Мексика</t>
  </si>
  <si>
    <t>Перу</t>
  </si>
  <si>
    <t>Польша</t>
  </si>
  <si>
    <t>Португалия</t>
  </si>
  <si>
    <t>Россия</t>
  </si>
  <si>
    <t>Румыния</t>
  </si>
  <si>
    <t>Сингапур</t>
  </si>
  <si>
    <t>Словакия</t>
  </si>
  <si>
    <t>Франция</t>
  </si>
  <si>
    <t>Хорватия</t>
  </si>
  <si>
    <t>Чехия</t>
  </si>
  <si>
    <t>Швейцария</t>
  </si>
  <si>
    <t>Эстония</t>
  </si>
  <si>
    <t>Комментарий</t>
  </si>
  <si>
    <t>Random</t>
  </si>
  <si>
    <t>Нет</t>
  </si>
  <si>
    <t>ХЗ что за номер.</t>
  </si>
  <si>
    <t>Да</t>
  </si>
  <si>
    <t>Мы передаём номер 43720816122, провайдер пропускает прозрачно.</t>
  </si>
  <si>
    <t>Сим-карты</t>
  </si>
  <si>
    <t>Мы ничего не передаём, провайдер подставляет на своей стороне пул номеров</t>
  </si>
  <si>
    <t>Не местные номера</t>
  </si>
  <si>
    <t>35924372150, 35924373523, 35924902294</t>
  </si>
  <si>
    <t>Мы ничего не передаём, провайдер подставляет на своей стороне пул из трёх номеров</t>
  </si>
  <si>
    <t>Местные номера, но не со всеми кодами.</t>
  </si>
  <si>
    <t>Мы передаём номер 3614088308, провайдер пропускает прозрачно.</t>
  </si>
  <si>
    <t>493031879885</t>
  </si>
  <si>
    <t>Мы передаём номер 493031879885, провайдер пропускает прозрачно.</t>
  </si>
  <si>
    <t>Мы передаём номер 43720881870, провайдер пропускает прозрачно.</t>
  </si>
  <si>
    <t>Для ВЛ Венгрия, местный язык</t>
  </si>
  <si>
    <t>Для ВЛ Германия, местный язык</t>
  </si>
  <si>
    <t>Для ВЛ Германия, русский язык</t>
  </si>
  <si>
    <t>Название маршрута</t>
  </si>
  <si>
    <t>Обозначение АОН-а</t>
  </si>
  <si>
    <t>Символ разделения в маршруте:</t>
  </si>
  <si>
    <t>_</t>
  </si>
  <si>
    <t>/</t>
  </si>
  <si>
    <t>302311181485</t>
  </si>
  <si>
    <t>Для ВЛ Греция, местный язык</t>
  </si>
  <si>
    <t>Мы передаём номер 302311181485, провайдер пропускает прозрачно.</t>
  </si>
  <si>
    <t>Мы передаём номер 34919016118, провайдер пропускает прозрачно.</t>
  </si>
  <si>
    <t>Для ВЛ Испания, местный язык</t>
  </si>
  <si>
    <t>&amp;I1&amp;</t>
  </si>
  <si>
    <t>Символ  в маршруте:</t>
  </si>
  <si>
    <t>Латвийский шлюз</t>
  </si>
  <si>
    <t>Мы ничего не передаём, провайдер подставляет на своей стороне пул из 5-ти номеров</t>
  </si>
  <si>
    <t>VoxBird</t>
  </si>
  <si>
    <t>79587091205, 79587091071, 79587091086</t>
  </si>
  <si>
    <t>Мы ничего не передаём, провайдер подставляет на своей стороне пул из 3-х номеров</t>
  </si>
  <si>
    <t>RND</t>
  </si>
  <si>
    <t>Pool_A</t>
  </si>
  <si>
    <t>Pool_B</t>
  </si>
  <si>
    <t>Pool_C</t>
  </si>
  <si>
    <t>40312295628</t>
  </si>
  <si>
    <t>40312295641</t>
  </si>
  <si>
    <t>Мы передаём номер 40312295641, провайдер пропускает прозрачно</t>
  </si>
  <si>
    <t>Мы передаём номер 40312295628, провайдер пропускает прозрачно</t>
  </si>
  <si>
    <t>Локальный пул</t>
  </si>
  <si>
    <t>Не локальный пул</t>
  </si>
  <si>
    <t>Словения</t>
  </si>
  <si>
    <t>Евро пул</t>
  </si>
  <si>
    <t>Бельгия</t>
  </si>
  <si>
    <t>Столбец1</t>
  </si>
  <si>
    <t>Voxbird</t>
  </si>
  <si>
    <t>Voippro</t>
  </si>
  <si>
    <t>00001</t>
  </si>
  <si>
    <t>00000</t>
  </si>
  <si>
    <t>00</t>
  </si>
  <si>
    <t>6531381649, 6531381694, 6531381695</t>
  </si>
  <si>
    <t>Нидерланды</t>
  </si>
  <si>
    <t>Люксембург</t>
  </si>
  <si>
    <t>Мы передаём номер 37167651499 , провайдер пропускает прозрачно</t>
  </si>
  <si>
    <t>Рандомные локальные номера провайдер подставлять не может, но может пропускать локальный купленный номер.</t>
  </si>
  <si>
    <t>37167651499</t>
  </si>
  <si>
    <t>Чили</t>
  </si>
  <si>
    <t>Проект</t>
  </si>
  <si>
    <t>ИТМ</t>
  </si>
  <si>
    <r>
      <rPr>
        <b/>
        <sz val="11"/>
        <color theme="1"/>
        <rFont val="Calibri"/>
        <family val="2"/>
        <charset val="204"/>
        <scheme val="minor"/>
      </rPr>
      <t xml:space="preserve">Страна/Проект/Провайдер/АОН/Префикс@ </t>
    </r>
    <r>
      <rPr>
        <sz val="11"/>
        <color theme="1"/>
        <rFont val="Calibri"/>
        <family val="2"/>
        <charset val="204"/>
        <scheme val="minor"/>
      </rPr>
      <t>- Шаблон названия маршрута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charset val="204"/>
        <scheme val="minor"/>
      </rPr>
      <t>Варианты АОНов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charset val="204"/>
        <scheme val="minor"/>
      </rPr>
      <t>RND</t>
    </r>
    <r>
      <rPr>
        <sz val="11"/>
        <color theme="1"/>
        <rFont val="Calibri"/>
        <family val="2"/>
        <scheme val="minor"/>
      </rPr>
      <t xml:space="preserve"> - Пул рандомных номеров
</t>
    </r>
    <r>
      <rPr>
        <b/>
        <sz val="11"/>
        <color theme="1"/>
        <rFont val="Calibri"/>
        <family val="2"/>
        <charset val="204"/>
        <scheme val="minor"/>
      </rPr>
      <t>SIM</t>
    </r>
    <r>
      <rPr>
        <sz val="11"/>
        <color theme="1"/>
        <rFont val="Calibri"/>
        <family val="2"/>
        <scheme val="minor"/>
      </rPr>
      <t xml:space="preserve"> - Сим-карты в шлюзе
</t>
    </r>
    <r>
      <rPr>
        <b/>
        <sz val="11"/>
        <color theme="1"/>
        <rFont val="Calibri"/>
        <family val="2"/>
        <charset val="204"/>
        <scheme val="minor"/>
      </rPr>
      <t>Pool_#</t>
    </r>
    <r>
      <rPr>
        <sz val="11"/>
        <color theme="1"/>
        <rFont val="Calibri"/>
        <family val="2"/>
        <scheme val="minor"/>
      </rPr>
      <t xml:space="preserve"> - Пул купленных номеров, каждый пул в рамках страны помечается буквой (A, B, C…)
</t>
    </r>
    <r>
      <rPr>
        <b/>
        <sz val="11"/>
        <color theme="1"/>
        <rFont val="Calibri"/>
        <family val="2"/>
        <charset val="204"/>
        <scheme val="minor"/>
      </rPr>
      <t>[Номер]</t>
    </r>
    <r>
      <rPr>
        <sz val="11"/>
        <color theme="1"/>
        <rFont val="Calibri"/>
        <family val="2"/>
        <scheme val="minor"/>
      </rPr>
      <t xml:space="preserve"> - Единственный купленный А-номер</t>
    </r>
  </si>
  <si>
    <t>Дожим</t>
  </si>
  <si>
    <t>Мы передаём номер 40312296405, провайдер пропускает прозрачно</t>
  </si>
  <si>
    <t>На текущий момент номер используется для ГЛ</t>
  </si>
  <si>
    <t>Выделен для сотрудников дожима</t>
  </si>
  <si>
    <t>Не локальный пул
(Австрийский)</t>
  </si>
  <si>
    <t>Мы передаём техпрефикс 0931, провайдер на своей стороне подставляет пул из 3-х номеров</t>
  </si>
  <si>
    <t>Pool_D</t>
  </si>
  <si>
    <t>Сменили на 3 новых номера</t>
  </si>
  <si>
    <t>Удалить</t>
  </si>
  <si>
    <t>79310097495</t>
  </si>
  <si>
    <t>Мы передаём номер 79310097495, провайдер пропускает прозрачно</t>
  </si>
  <si>
    <t>EU</t>
  </si>
  <si>
    <t>Сервер</t>
  </si>
  <si>
    <t>EU/MX</t>
  </si>
  <si>
    <t>Шлюз_NEW1</t>
  </si>
  <si>
    <t>Шлюз_NEW2</t>
  </si>
  <si>
    <t>Новый второй шлюз</t>
  </si>
  <si>
    <t>Новый первый шлюз</t>
  </si>
  <si>
    <t>Латвия/Sancom/Pool_A/0789pfx@</t>
  </si>
  <si>
    <t xml:space="preserve"> 33756751051, 33756751050</t>
  </si>
  <si>
    <t>Купленные номера, прямой маршрут</t>
  </si>
  <si>
    <t>40312296403</t>
  </si>
  <si>
    <t>Мы передаём номер 40312296403, провайдер пропускает прозрачно</t>
  </si>
  <si>
    <t>Индонезия</t>
  </si>
  <si>
    <t>SG</t>
  </si>
  <si>
    <t>Trada</t>
  </si>
  <si>
    <t>622131113755,
622131113756,
622131113757,
622131113758</t>
  </si>
  <si>
    <t>Мы ничего не передаём, провайдер подставляет на своей стороне пул из 4-х номеров</t>
  </si>
  <si>
    <t>Мы передаём префикс 5555, провайдер подставляет на своей стороне пул номеров</t>
  </si>
  <si>
    <t>5555</t>
  </si>
  <si>
    <t>622150678168,
622150678998,
622131180080,
622131180088</t>
  </si>
  <si>
    <t>622150260068</t>
  </si>
  <si>
    <t>Мы передаём номер 02150260068, провайдер пропускает прозрачно</t>
  </si>
  <si>
    <t>Филиппины</t>
  </si>
  <si>
    <t>Мы передаём номер 37052077882, провайдер подставляет на своей стороне пул из 2-х номеров.</t>
  </si>
  <si>
    <t>37052077882,
37052080086</t>
  </si>
  <si>
    <t>SIM</t>
  </si>
  <si>
    <t>302102213438
302102213439</t>
  </si>
  <si>
    <t>Мы передаём номер 302102213438, провайдер подставляет на своей стороне пул из 2-ух номеров</t>
  </si>
  <si>
    <t>Номер 40312296403 был заблокирован 02.01.2021 (Не поступали входящие)
В тот же день подключили новый номер. 40312295275
04.04.2021 проблема с номером была решена, нокак АОН продолжили использовать новый номер.</t>
  </si>
  <si>
    <t>40312295275</t>
  </si>
  <si>
    <t>Новый номер для инернет-заявок взамен заблокированного 40312296403</t>
  </si>
  <si>
    <t>Мы передаём номер 40312295275, провайдер пропускает прозрачно</t>
  </si>
  <si>
    <t>Швейцаро-немецкий пул</t>
  </si>
  <si>
    <t>37052077867</t>
  </si>
  <si>
    <t>Мы передаём номер 37052077867, провайдер пропускает прозрачно</t>
  </si>
  <si>
    <t>Удалили</t>
  </si>
  <si>
    <t>Заблочили номера</t>
  </si>
  <si>
    <t>Немецкий пул</t>
  </si>
  <si>
    <t>0333</t>
  </si>
  <si>
    <t>0444</t>
  </si>
  <si>
    <t>Гватемала</t>
  </si>
  <si>
    <t>Аргентина</t>
  </si>
  <si>
    <t>Отключен</t>
  </si>
  <si>
    <t>Мы передаём префикс 0333, провайдер подставляет на своей стороне НЕМЕЦКИЙ пул номеров</t>
  </si>
  <si>
    <t>Мы передаём префикс 0444, провайдер подставляет на своей стороне ШВЕЙЦАРО-НЕМЕЦКИЙ пул номеров</t>
  </si>
  <si>
    <t>79310090094,
79310090095,
79310090096</t>
  </si>
  <si>
    <t>Мы ничего не передаём, провайдер подставляет на своей стороне пул из 10-ти номеров</t>
  </si>
  <si>
    <t>Мы передаём 6531381649, провайдер подставляет на своей стороне пул из 3-х номеров</t>
  </si>
  <si>
    <t>Бразилия</t>
  </si>
  <si>
    <t>Коста-Рика</t>
  </si>
  <si>
    <t>Доминиканская Республика</t>
  </si>
  <si>
    <t>Эквадор</t>
  </si>
  <si>
    <t>Гана</t>
  </si>
  <si>
    <t>Кения</t>
  </si>
  <si>
    <t>Нигерия</t>
  </si>
  <si>
    <t>Панама</t>
  </si>
  <si>
    <t>ЮАР</t>
  </si>
  <si>
    <t>Уругвай</t>
  </si>
  <si>
    <t>Американский пул</t>
  </si>
  <si>
    <t>Мы передаём префикс 0333, провайдер подставляет на своей стороне АМЕРИКАНСКИЙ пул номеров</t>
  </si>
  <si>
    <t>Подозрение на блокировку</t>
  </si>
  <si>
    <t>40364228120</t>
  </si>
  <si>
    <t>40364228122</t>
  </si>
  <si>
    <t>40364228128</t>
  </si>
  <si>
    <t>Мы передаём номер 40364228120, провайдер пропускает прозрачно</t>
  </si>
  <si>
    <t>Мы передаём номер 40364228122, провайдер пропускает прозрачно</t>
  </si>
  <si>
    <t>Мы передаём номер 40364228128, провайдер пропускает прозрачно</t>
  </si>
  <si>
    <t>Мы передаём префикс 0789, провайдер на своей стороне подставляет пул АМЕРИКАНСКИХ номеров</t>
  </si>
  <si>
    <t>EU5</t>
  </si>
  <si>
    <t>40364228150</t>
  </si>
  <si>
    <t>Autodial</t>
  </si>
  <si>
    <t>Мы передаём номер 40364228150, провайдер пропускает прозрачно</t>
  </si>
  <si>
    <t>Пул Австрия, Германия</t>
  </si>
  <si>
    <t>Удален</t>
  </si>
  <si>
    <t>Шлюз_GoIP</t>
  </si>
  <si>
    <t>4 сервер</t>
  </si>
  <si>
    <t>5 сервер</t>
  </si>
  <si>
    <t>VoIPPro</t>
  </si>
  <si>
    <t>56229141100</t>
  </si>
  <si>
    <t>56229141101</t>
  </si>
  <si>
    <t>56229141102</t>
  </si>
  <si>
    <t>56229141103</t>
  </si>
  <si>
    <t>56229141104</t>
  </si>
  <si>
    <t>Мы передаём номер провайдеру, он пропускает его прозрачно</t>
  </si>
  <si>
    <t>Рандомные номера</t>
  </si>
  <si>
    <t>5 номеров для рандомной прокрутки</t>
  </si>
  <si>
    <t>MX2</t>
  </si>
  <si>
    <t>Босния</t>
  </si>
  <si>
    <t>Доступен только с 4-го сервера</t>
  </si>
  <si>
    <t>Танзания</t>
  </si>
  <si>
    <t>Руанда</t>
  </si>
  <si>
    <t>Уганда</t>
  </si>
  <si>
    <t>Беларусь</t>
  </si>
  <si>
    <t>Украина</t>
  </si>
  <si>
    <t>380947100183</t>
  </si>
  <si>
    <t>380947100874</t>
  </si>
  <si>
    <t>Мы передаём номер 380947100183, провайдер пропускает его прозрачно</t>
  </si>
  <si>
    <t>Мы передаём номер 380947100874, провайдер пропускает его прозрачно</t>
  </si>
  <si>
    <t>EU2, EU4</t>
  </si>
  <si>
    <t>ОАЭ</t>
  </si>
  <si>
    <t>Восстановлен</t>
  </si>
  <si>
    <t>79311060078
79311060079
79311060081
79311060082
79311060083
79311060084
79311060085
79311060098
79311060102
79311060103</t>
  </si>
  <si>
    <t>74997532910
74951453216
74951359216</t>
  </si>
  <si>
    <t>Мы ничего не передаём, провайдер подставляет на своей стороне пул из 10-ти номеров.</t>
  </si>
  <si>
    <t>Номера направлены на EU2 и поставлена заглушка, ВЛ нет</t>
  </si>
  <si>
    <t>40368228102</t>
  </si>
  <si>
    <t>40368228106</t>
  </si>
  <si>
    <t>Мы передаём номер 40368228102, провайдер пропускает прозрачно</t>
  </si>
  <si>
    <t>Мы передаём номер 40368228106, провайдер пропускает прозрачно</t>
  </si>
  <si>
    <t>40368228107</t>
  </si>
  <si>
    <t>Мы передаём номер 40368228107, провайдер пропускает прозрачно</t>
  </si>
  <si>
    <t>Гондурас</t>
  </si>
  <si>
    <t>Отключили, номер в спаме</t>
  </si>
  <si>
    <t>40364228183</t>
  </si>
  <si>
    <t>Резервный номер, ранее был в блоке</t>
  </si>
  <si>
    <t>Мы ничего не передаём, провайдер подставляет на своей стороне пул из 9-ти номеров</t>
  </si>
  <si>
    <t>79584087041
79584087042
79584087043
79584087044
79584087045
79584087046
79584087047
79584087048
79584087049</t>
  </si>
  <si>
    <t>Великобритания</t>
  </si>
  <si>
    <t>442039546475</t>
  </si>
  <si>
    <t>442039546485</t>
  </si>
  <si>
    <t>442039546495</t>
  </si>
  <si>
    <t>Мы передаём номер 442039546475, провайдер пропускает его прозрачно</t>
  </si>
  <si>
    <t>Мы передаём номер 442039546485, провайдер пропускает его прозрачно</t>
  </si>
  <si>
    <t>Мы передаём номер 442039546495, провайдер пропускает его прозрачно</t>
  </si>
  <si>
    <t>Amazon</t>
  </si>
  <si>
    <t>Боливия</t>
  </si>
  <si>
    <t>Пакистан</t>
  </si>
  <si>
    <t>Марокко</t>
  </si>
  <si>
    <t>Французский пул</t>
  </si>
  <si>
    <t>Мы ничего не передаём, провайдер подставляет на своей стороне пул из 5-ти купленых номеров</t>
  </si>
  <si>
    <t>Входящих нет, Миател ставит заглушку</t>
  </si>
  <si>
    <t>Группа более дорогих маршрутов</t>
  </si>
  <si>
    <t>Удалены, проект не запустился</t>
  </si>
  <si>
    <t>Отключен. Нет сим</t>
  </si>
  <si>
    <t>Прозвон конкурентов. Бабичева</t>
  </si>
  <si>
    <t>Прозвон конкурентов
Отключен</t>
  </si>
  <si>
    <t>Шлюз1</t>
  </si>
  <si>
    <t>Шлюз2</t>
  </si>
  <si>
    <t>Шлюз3</t>
  </si>
  <si>
    <t>40351229042</t>
  </si>
  <si>
    <t>40351229046</t>
  </si>
  <si>
    <t>Мы передаём номер 40351229042, провайдер пропускает прозрачно</t>
  </si>
  <si>
    <t>Мы передаём номер 40351229046, провайдер пропускает прозрачно</t>
  </si>
  <si>
    <t>Новые номера</t>
  </si>
  <si>
    <t>Пулы не актуальны</t>
  </si>
  <si>
    <t>Gray</t>
  </si>
  <si>
    <t>Standart</t>
  </si>
  <si>
    <t>Premium</t>
  </si>
  <si>
    <t>Отключили, заезженные номера</t>
  </si>
  <si>
    <t>Мы передаём номер 40351229043, провайдер пропускает прозрачно</t>
  </si>
  <si>
    <t>Мы передаём номер 40351229047, провайдер пропускает прозрачно</t>
  </si>
  <si>
    <t>40351229043</t>
  </si>
  <si>
    <t>40351229047</t>
  </si>
  <si>
    <t>Новые номера, резерв</t>
  </si>
  <si>
    <t>Финляндия</t>
  </si>
  <si>
    <t>302157774012
302157774013</t>
  </si>
  <si>
    <t>Мы передаём номер 302157774012, провайдер подставляет на своей стороне пул из 2-ух номеров</t>
  </si>
  <si>
    <t>Сербия</t>
  </si>
  <si>
    <t>Мы передаём номер 3726189872, провайдер подставляет на своей стороне пул из 5-ти номеров</t>
  </si>
  <si>
    <t>Парагвай</t>
  </si>
  <si>
    <t>UniTalk</t>
  </si>
  <si>
    <t>43720828575, 43720828586, 43720828587, 43720828601, 43720828602</t>
  </si>
  <si>
    <t>Мы ничего не передаём, провайдер подставляет на своей стороне пул из пяти номеров</t>
  </si>
  <si>
    <t>4915774895660, 4915774895663, 4915774895666, 4915774895677</t>
  </si>
  <si>
    <t>Мы ничего не передаём, провайдер подставляет на своей стороне пул из четырёх номеров</t>
  </si>
  <si>
    <t>Германо-Французский пул</t>
  </si>
  <si>
    <t>Венгерский пул</t>
  </si>
  <si>
    <t>Для организации входящей линии. От Мошонкина Ср 16.11.2022 11:36</t>
  </si>
  <si>
    <t>Для организации входящей линии. От Мошонкина Ср 16.11.2022 11:37</t>
  </si>
  <si>
    <t>Для организации входящей линии. От Мошонкина Ср 16.11.2022 11:38</t>
  </si>
  <si>
    <t>Для организации входящей линии. От Мошонкина Ср 16.11.2022 11:39</t>
  </si>
  <si>
    <t>34695502587</t>
  </si>
  <si>
    <t>Прозвон по СМС через софтфон</t>
  </si>
  <si>
    <t>Мы передаём номер 34695502587, провайдер пропускает его прозрачно</t>
  </si>
  <si>
    <t>На номерах заглушка со стороны Миатела</t>
  </si>
  <si>
    <t>491627198114, 491627198491, 491741630681, 4915510068115</t>
  </si>
  <si>
    <t>4915510068154</t>
  </si>
  <si>
    <t>4369010256244</t>
  </si>
  <si>
    <t>35722222002, 35722222559</t>
  </si>
  <si>
    <t>38682829062, 38682829063, 38682829064, 38682829068, 38682829891</t>
  </si>
  <si>
    <t>Алжир</t>
  </si>
  <si>
    <t>IXO</t>
  </si>
  <si>
    <t>496980394006, 496980394004, 496980394009</t>
  </si>
  <si>
    <t>Мы крутим каруселью три номера, провайдер пропускает номера прозрачно.</t>
  </si>
  <si>
    <t>Мы передаём номер 37037247760, провайдер подставляет на своей стороне пул из 5-ти номеров</t>
  </si>
  <si>
    <t>37037247760, 37037270603, 37052030848, 37052073221</t>
  </si>
  <si>
    <t>Только пропуск купленных номеров</t>
  </si>
  <si>
    <t>Рагдомные локальные номера</t>
  </si>
  <si>
    <t>Рагдомные локальные номера, другой маршрут</t>
  </si>
  <si>
    <t>Локальные А-номера не доступны ни в каком виде.</t>
  </si>
  <si>
    <t>Словацкий пул</t>
  </si>
  <si>
    <t>442039616510</t>
  </si>
  <si>
    <t>Мы передаём 442039616510, провайдер пропускает его прозрачно</t>
  </si>
  <si>
    <t>Япония</t>
  </si>
  <si>
    <t>Если плохо будут проходить городские номера, то можно попробовать купить мобильные</t>
  </si>
  <si>
    <t>Lexicall</t>
  </si>
  <si>
    <t>Номера не наши. Испольщуем на ИТМ</t>
  </si>
  <si>
    <t>Autocall</t>
  </si>
  <si>
    <t>Испольщуем номера для Автокола</t>
  </si>
  <si>
    <t>Мы передаём номер 37168200262, провайдер подставляет на своей стороне пул из 5-ти номеров</t>
  </si>
  <si>
    <t>Бахрейн</t>
  </si>
  <si>
    <t>40364228121, 40364228127, 40364228129, 40364228157, 40364228184</t>
  </si>
  <si>
    <t>ВЛ для Фри</t>
  </si>
  <si>
    <t>Мы передаём номер 40364228121, провайдер пропускает прозрачно</t>
  </si>
  <si>
    <t>37168200262, 37168200265, 37168200268, 37168200269</t>
  </si>
  <si>
    <t>358974790030, 358974790040, 358974790090</t>
  </si>
  <si>
    <t>380920221006, 380920221007, 380920221008, 380920221009, 380920221011, 380920221012, 380920221013, 380920221014, 380920221015, 380920221016</t>
  </si>
  <si>
    <t>Мы передаём номер 358974790030, провайдер подставляет на своей стороне пул из 3-х номеров</t>
  </si>
  <si>
    <t>Никарагуа</t>
  </si>
  <si>
    <t>Венесуэла</t>
  </si>
  <si>
    <t>Локальный рандом</t>
  </si>
  <si>
    <t>Мы ничего передаём номер 33756751051, провайдер подставляет на своей стороне пул из 2-х номеров</t>
  </si>
  <si>
    <t>3613237384, 3613237385, 3613237386, 3618480240</t>
  </si>
  <si>
    <t>Мы передаём номер 3613237384, провайдер подставляет на своей стороне пул из 4-х номеров</t>
  </si>
  <si>
    <t>37037210209, 37037247764, 37052030846, 37052032568, 37052077874</t>
  </si>
  <si>
    <t>Мы передаём номер 37037210209, провайдер подставляет на своей стороне пул из 5-ти номеров</t>
  </si>
  <si>
    <t>Индия</t>
  </si>
  <si>
    <t>4921136189320, 4921136189321, 4921136189322, 4921136189323, 4921136189324, 4921136189325, 4921136189326, 4921136189327, 4921136189328, 4921136189329</t>
  </si>
  <si>
    <t>Мы передаём префикс 0333, провайдер подставляет на своей стороне пул купленных номеров</t>
  </si>
  <si>
    <t>Австрийский пул</t>
  </si>
  <si>
    <t>Новый маршрут 0,003 EUR</t>
  </si>
  <si>
    <t>Турция</t>
  </si>
  <si>
    <t>Азербайджанский пул</t>
  </si>
  <si>
    <t>Сальвадор</t>
  </si>
  <si>
    <t>США</t>
  </si>
  <si>
    <t>Не локальный пул
(Великобританский)</t>
  </si>
  <si>
    <t>385989751203, 385989751322, 385989751480, 385989751545, 385989751626</t>
  </si>
  <si>
    <t>Мы передаём номер 385989751203, провайдер подставляет на своей стороне пул из 5-ти номеров</t>
  </si>
  <si>
    <t>Не локальный пул
(Мексиканский)</t>
  </si>
  <si>
    <t>Мы передаём 18649474731, провайдер подставляет на своей стороне пул из 5-ти номеров</t>
  </si>
  <si>
    <t>18649474731, 12523768638, 12195876440, 19894871351, 19596007869</t>
  </si>
  <si>
    <t>Локальный</t>
  </si>
  <si>
    <t>Rocketcalls</t>
  </si>
  <si>
    <t>32480205481, 32480205067</t>
  </si>
  <si>
    <t>Мы передаём номер 32480205481, провайдер подставляет на своей стороне пул из 2-х номеров</t>
  </si>
  <si>
    <t>Мы передаём номер 351300502105, провайдер подставляет на своей стороне пул из 2-х номеров</t>
  </si>
  <si>
    <t>351300502105
351300502088</t>
  </si>
  <si>
    <t>Intergo</t>
  </si>
  <si>
    <t>Мы ничего не передаём, провайдер подставляет на своей стороне пул из купленных номеров 541139868253 541139868254 541139868256 541139868257 541139868258</t>
  </si>
  <si>
    <t>Россия/RocketCall/RND@</t>
  </si>
  <si>
    <t>RocketCall</t>
  </si>
  <si>
    <t>отключен</t>
  </si>
  <si>
    <t>Передаем 43720828575, провайдер крутит карусель из 5 номеров</t>
  </si>
  <si>
    <t>Twilio</t>
  </si>
  <si>
    <t>Локальный пул + Нидерладский пул номеров</t>
  </si>
  <si>
    <t>Бельгия/Zorra/Pool_B@</t>
  </si>
  <si>
    <t>0825</t>
  </si>
  <si>
    <t>Odorik</t>
  </si>
  <si>
    <t>AOneVoip</t>
  </si>
  <si>
    <t>Бельгия/AOneVoip/RND@</t>
  </si>
  <si>
    <t>Krejton</t>
  </si>
  <si>
    <t>Мы ничего не передаём, провайдер подставляет на своей стороне номер 420251713187</t>
  </si>
  <si>
    <t>Словакия/Odorik/Pool_A@</t>
  </si>
  <si>
    <t>Odorick</t>
  </si>
  <si>
    <t>Испанский пул</t>
  </si>
  <si>
    <t>Мы передаём номер 37037247760, провайдер подставляет на своей стороне пул из 4-х номеров</t>
  </si>
  <si>
    <t>37045509530, 37037270603, 37052030848, 37052073221</t>
  </si>
  <si>
    <t>Мы ничего не передаём, провайдер подставляет на своей стороне пул номеров 32460228043
32460224156
32460216130
32460215883
32460216423</t>
  </si>
  <si>
    <t>Мы передаём номер 420210012280, провайдер подставляет на своей стороне пул из 10 номеров</t>
  </si>
  <si>
    <t>02075</t>
  </si>
  <si>
    <t>33686340944, 33605795441</t>
  </si>
  <si>
    <t>Италия/AOneVoip/RND/01994pfx@</t>
  </si>
  <si>
    <t>Мы передаём номер 37162444277, провайдер подставляет на своей стороне пул из 3-х номеров</t>
  </si>
  <si>
    <t>420251713080
420251713081
420251713082
420251713083
420251713084
420251713085
420251713086
420251713087
420251713088
420251713089</t>
  </si>
  <si>
    <r>
      <rPr>
        <strike/>
        <sz val="11"/>
        <color rgb="FFFF0000"/>
        <rFont val="Calibri"/>
        <family val="2"/>
        <charset val="204"/>
        <scheme val="minor"/>
      </rPr>
      <t>37162444277</t>
    </r>
    <r>
      <rPr>
        <sz val="11"/>
        <color theme="1"/>
        <rFont val="Calibri"/>
        <family val="2"/>
        <charset val="204"/>
        <scheme val="minor"/>
      </rPr>
      <t>, 37166103106, 37166888259, 37167241115, 37168800821</t>
    </r>
  </si>
  <si>
    <t>Мы передаём префикс 011, провайдер подставляет на своей стороне пул из 2-х номеров 33686340944 33605795441</t>
  </si>
  <si>
    <t>французские купленные номера</t>
  </si>
  <si>
    <t>070</t>
  </si>
  <si>
    <t>Дания</t>
  </si>
  <si>
    <t>UK пул</t>
  </si>
  <si>
    <t>Швеция</t>
  </si>
  <si>
    <t>EU пул</t>
  </si>
  <si>
    <t>01994</t>
  </si>
  <si>
    <t>Малайзия</t>
  </si>
  <si>
    <t>Швейцарский пул</t>
  </si>
  <si>
    <t>Мы передаем 4578723235, провайдер подставляет 4578723235, 4578723236, 4578723238, 4578723241, 4578723244</t>
  </si>
  <si>
    <t>Локальные купленные номера</t>
  </si>
  <si>
    <t>Мы передаём префикс 010, провайдер подставляет на своей стороне пул номеров</t>
  </si>
  <si>
    <t>Мы передаём префикс, провайдер подставляет на своей стороне пул номеров</t>
  </si>
  <si>
    <t>390299224354
390299224355
390299224356
390299224357
390299224358</t>
  </si>
  <si>
    <t>ITM</t>
  </si>
  <si>
    <t>417959766XX</t>
  </si>
  <si>
    <t>Купленные номера</t>
  </si>
  <si>
    <t>38682803812
38682803814
38682803817
38682803818
38682803819</t>
  </si>
  <si>
    <t>4368120669076
4368181134374
4368181302350
4368181365665</t>
  </si>
  <si>
    <t>Мы ничего не передаём, провайдер подставляет на своей стороне пул номеров
4368120669076
4368181134374
4368181302350
4368181365665</t>
  </si>
  <si>
    <t>Мы передаем 390284152500, провайдер подставляет пул из 28 номеров</t>
  </si>
  <si>
    <t>30 номеров</t>
  </si>
  <si>
    <t>28 номеров</t>
  </si>
  <si>
    <t>Передаем 390284152957, провайдер подставлет пул из 30 купленных номеров</t>
  </si>
  <si>
    <t>Мы передаем 390284152975, провайдер подставляет пул из 10 номеров</t>
  </si>
  <si>
    <t>390284152975
390284152974
390284152973
390284152972
390284152971
390284152969
390284152968
390284152967
390284152966
390284152965</t>
  </si>
  <si>
    <t>020</t>
  </si>
  <si>
    <t>Мы передаём 4368120669076, провайдер подставляет на своей стороне пул номеров</t>
  </si>
  <si>
    <t>Мы передаём номер 33221792253, провайдер подставляет на своей стороне пул из 10 номеров</t>
  </si>
  <si>
    <t>33221792253
33221792258
33221792260
33221792264
33221792277
33221792278
33221792282
33221792284
33221792292
33221792296</t>
  </si>
  <si>
    <t>3726039288
3726039289
3726039291
3726039292
3726169917</t>
  </si>
  <si>
    <t>локальный пул</t>
  </si>
  <si>
    <t>локальные купленные номера</t>
  </si>
  <si>
    <t>Мы передаём 32466900070, провайдер подставляет на своей стороне пул номеров</t>
  </si>
  <si>
    <t>32466900070
32466901788
32466902077
32466902167
32466902554
32466904892
32466906171
32466906176
32466906179
32466909837</t>
  </si>
  <si>
    <t>Мы передаем 43720334450, провайдер подставляет:
43720334450
43720334451
43720334452
43720334453
43720334454
43720334455
43720334456
43720334457
43720334458
43720334459
43720334460
43720334461
43720334462
43720334463
43720334464
43720334465
43720334466
43720334467
43720334468
43720334469</t>
  </si>
  <si>
    <t>43720334450
43720334451
43720334452
43720334453
43720334454
43720334455
43720334456
43720334457
43720334458
43720334459
43720334460
43720334461
43720334462
43720334463
43720334464
43720334465
43720334466
43720334467
43720334468
43720334469</t>
  </si>
  <si>
    <t>4314420245
4314420315
4314420420
4314420818
4314421001
43732351053
43732351054
43732351055
43732351056
43732351057
43732351058
43732351059
43732351070
43732351071
43732351072</t>
  </si>
  <si>
    <t>Мы передаем 4314420245, провайдер подставляет:
4314420245
4314420315
4314420420
4314420818
4314421001
43732351053
43732351054
43732351055
43732351056
43732351057
43732351058
43732351059
43732351070
43732351071
43732351072</t>
  </si>
  <si>
    <t>551142103333
551142103335
551142807202
551142807217
551143806472
551143806481
551143806483
551143807010
551152419984
551152419988</t>
  </si>
  <si>
    <t>552120423205
552120423214
552120423306
552120423319
552120423325
552120423326
552120423841
552120423854
552120423856
552120423857</t>
  </si>
  <si>
    <t>Мы передаем 551142103333, провайдер крутит карусель</t>
  </si>
  <si>
    <t>Мы передаем 552120423205, провайдер крутит карусель</t>
  </si>
  <si>
    <t>АОНы Сан-Паулу</t>
  </si>
  <si>
    <t>АОНы Рио</t>
  </si>
  <si>
    <t>наш пул лист</t>
  </si>
  <si>
    <t>Мы передаем 100 АОНов рандомно</t>
  </si>
  <si>
    <t>основной маршрут для ИТМ, работает только на EU8 https://jira.metalead.local/servicedesk/customer/portal/11/HELP-34529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</si>
</sst>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9C0006"/>
      <name val="Calibri"/>
      <family val="2"/>
      <charset val="204"/>
      <scheme val="minor"/>
    </font>
    <font>
      <sz val="11"/>
      <color rgb="FF172B4D"/>
      <name val="Segoe UI"/>
      <family val="2"/>
      <charset val="204"/>
    </font>
    <font>
      <strike/>
      <sz val="11"/>
      <color rgb="FFFF0000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D1D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0" applyNumberFormat="0" applyBorder="0" applyAlignment="0" applyProtection="0"/>
  </cellStyleXfs>
  <cellXfs count="43">
    <xf numFmtId="0" fontId="0" fillId="0" borderId="0" xfId="0"/>
    <xf numFmtId="0" fontId="7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 vertical="center" wrapText="1" inden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center" vertical="center" wrapText="1"/>
    </xf>
    <xf numFmtId="49" fontId="0" fillId="2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 indent="1"/>
    </xf>
    <xf numFmtId="0" fontId="0" fillId="3" borderId="0" xfId="0" applyFill="1" applyAlignment="1">
      <alignment vertical="center" wrapText="1"/>
    </xf>
    <xf numFmtId="0" fontId="0" fillId="3" borderId="0" xfId="0" applyFill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0" fontId="0" fillId="4" borderId="0" xfId="0" applyFill="1" applyAlignment="1">
      <alignment vertical="center" wrapText="1"/>
    </xf>
    <xf numFmtId="0" fontId="0" fillId="4" borderId="0" xfId="0" applyFill="1" applyAlignment="1">
      <alignment horizontal="center" vertical="center" wrapText="1"/>
    </xf>
    <xf numFmtId="49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left" vertical="center" wrapText="1" indent="1"/>
    </xf>
    <xf numFmtId="0" fontId="9" fillId="5" borderId="0" xfId="2" applyAlignment="1">
      <alignment horizontal="center" vertical="center" wrapText="1"/>
    </xf>
    <xf numFmtId="49" fontId="9" fillId="5" borderId="0" xfId="2" applyNumberFormat="1" applyAlignment="1">
      <alignment horizontal="center" vertical="center" wrapText="1"/>
    </xf>
    <xf numFmtId="0" fontId="9" fillId="5" borderId="0" xfId="2" applyAlignment="1">
      <alignment horizontal="left" vertical="center" wrapText="1" indent="1"/>
    </xf>
    <xf numFmtId="0" fontId="9" fillId="5" borderId="0" xfId="2" applyAlignment="1">
      <alignment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left" vertical="center" wrapText="1" indent="1"/>
    </xf>
    <xf numFmtId="0" fontId="10" fillId="0" borderId="0" xfId="0" applyFont="1" applyAlignment="1">
      <alignment wrapText="1"/>
    </xf>
    <xf numFmtId="0" fontId="7" fillId="0" borderId="0" xfId="1" applyAlignment="1">
      <alignment horizontal="left" vertical="center" wrapText="1" indent="1"/>
    </xf>
    <xf numFmtId="49" fontId="2" fillId="0" borderId="0" xfId="0" applyNumberFormat="1" applyFont="1" applyAlignment="1">
      <alignment horizontal="center" vertical="center" wrapText="1"/>
    </xf>
    <xf numFmtId="0" fontId="12" fillId="6" borderId="0" xfId="3" applyAlignment="1">
      <alignment vertical="center" wrapText="1"/>
    </xf>
    <xf numFmtId="0" fontId="12" fillId="6" borderId="0" xfId="3" applyAlignment="1">
      <alignment horizontal="center" vertical="center" wrapText="1"/>
    </xf>
    <xf numFmtId="49" fontId="12" fillId="6" borderId="0" xfId="3" applyNumberFormat="1" applyAlignment="1">
      <alignment horizontal="center" vertical="center" wrapText="1"/>
    </xf>
    <xf numFmtId="0" fontId="12" fillId="6" borderId="0" xfId="3" applyAlignment="1">
      <alignment horizontal="left" vertical="center" wrapText="1" indent="1"/>
    </xf>
    <xf numFmtId="0" fontId="3" fillId="0" borderId="2" xfId="0" applyFont="1" applyBorder="1" applyAlignment="1">
      <alignment horizontal="left" vertical="center" wrapText="1" indent="1"/>
    </xf>
    <xf numFmtId="0" fontId="4" fillId="0" borderId="3" xfId="0" applyFont="1" applyBorder="1" applyAlignment="1">
      <alignment horizontal="left" vertical="center" wrapText="1" indent="1"/>
    </xf>
    <xf numFmtId="0" fontId="5" fillId="0" borderId="3" xfId="0" applyFont="1" applyBorder="1" applyAlignment="1">
      <alignment horizontal="left" vertical="center" wrapText="1" indent="1"/>
    </xf>
    <xf numFmtId="0" fontId="5" fillId="0" borderId="1" xfId="0" applyFont="1" applyBorder="1" applyAlignment="1">
      <alignment horizontal="left" vertical="center" wrapText="1" indent="1"/>
    </xf>
    <xf numFmtId="0" fontId="13" fillId="7" borderId="0" xfId="4" applyAlignment="1">
      <alignment horizontal="center" vertical="center" wrapText="1"/>
    </xf>
    <xf numFmtId="49" fontId="13" fillId="7" borderId="0" xfId="4" applyNumberFormat="1" applyAlignment="1">
      <alignment horizontal="center" vertical="center" wrapText="1"/>
    </xf>
    <xf numFmtId="0" fontId="13" fillId="7" borderId="0" xfId="4" applyNumberFormat="1" applyAlignment="1">
      <alignment horizontal="left" vertical="center" wrapText="1" indent="1"/>
    </xf>
  </cellXfs>
  <cellStyles count="5">
    <cellStyle name="Гиперссылка" xfId="1" builtinId="8"/>
    <cellStyle name="Нейтральный" xfId="3" builtinId="28"/>
    <cellStyle name="Обычный" xfId="0" builtinId="0"/>
    <cellStyle name="Плохой" xfId="2" builtinId="27"/>
    <cellStyle name="Хороший" xfId="4" builtinId="26"/>
  </cellStyles>
  <dxfs count="96"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alignment horizontal="left" vertical="center" textRotation="0" wrapText="1" indent="1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 patternType="solid">
          <fgColor rgb="FFFFD1D1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DDEBF7"/>
          <bgColor rgb="FF000000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1D1"/>
      <color rgb="FFFFCC99"/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72E3E6-E945-40B6-A9EC-F13A1069D38C}" name="Таблица134" displayName="Таблица134" ref="A4:L447" totalsRowShown="0" headerRowDxfId="30" dataDxfId="29">
  <autoFilter ref="A4:L447" xr:uid="{CCAD59E9-48E5-431C-BD21-0EBFA266C71A}">
    <filterColumn colId="0">
      <filters>
        <filter val="Италия"/>
      </filters>
    </filterColumn>
    <filterColumn colId="8">
      <filters>
        <filter val="ITM"/>
      </filters>
    </filterColumn>
  </autoFilter>
  <sortState xmlns:xlrd2="http://schemas.microsoft.com/office/spreadsheetml/2017/richdata2" ref="A77:L383">
    <sortCondition sortBy="cellColor" ref="A5:A446" dxfId="28"/>
    <sortCondition sortBy="cellColor" ref="A5:A446" dxfId="27"/>
    <sortCondition sortBy="cellColor" ref="A5:A446" dxfId="26"/>
    <sortCondition sortBy="cellColor" ref="A5:A446" dxfId="25"/>
    <sortCondition ref="A5:A446"/>
    <sortCondition ref="C5:C446" customList="Miatel,Sancom,Zorra,Шлюз"/>
  </sortState>
  <tableColumns count="12">
    <tableColumn id="1" xr3:uid="{F3717053-DB85-41EF-A123-C33D71BF4594}" name="Страна" dataDxfId="24"/>
    <tableColumn id="12" xr3:uid="{84BF8CB9-5C57-4420-9D54-D969BE2EAAF3}" name="Сервер" dataDxfId="23"/>
    <tableColumn id="2" xr3:uid="{8C2E8E12-CE11-40B7-9595-1F1A0504042E}" name="Провайдер" dataDxfId="22"/>
    <tableColumn id="3" xr3:uid="{50E24B6A-C269-4780-9BF5-C03514EE7818}" name="АОН" dataDxfId="21"/>
    <tableColumn id="9" xr3:uid="{5E727F70-57F0-4F93-8254-E3A39143940C}" name="Обозначение АОН-а" dataDxfId="20">
      <calculatedColumnFormula>IF(D5="Random","RND",IF(LEN(D5)&gt;15,"Укоротить",IF(D5="Сим-карты","SIM",D5)))</calculatedColumnFormula>
    </tableColumn>
    <tableColumn id="4" xr3:uid="{843E8506-8C91-4E7F-B7B3-2C620C28191D}" name="Условия подстановки АОН-а" dataDxfId="19"/>
    <tableColumn id="5" xr3:uid="{8675F242-5985-40FF-AACA-FB00B1F821EB}" name="Наличие ВЛ" dataDxfId="18"/>
    <tableColumn id="6" xr3:uid="{FC40A891-F49A-48E9-8B17-1AEC015B7CD3}" name="Префикс" dataDxfId="17"/>
    <tableColumn id="11" xr3:uid="{0F19C337-D7E4-4817-955D-A6C066E2D463}" name="Проект" dataDxfId="16"/>
    <tableColumn id="7" xr3:uid="{7F4F7A16-17C7-40A5-9931-BA7D4659D513}" name="Комментарий" dataDxfId="15"/>
    <tableColumn id="8" xr3:uid="{E1018EA0-0599-4F6E-AE40-C0C1B480102F}" name="Название маршрута" dataDxfId="14">
      <calculatedColumnFormula>IF(OR(E5="Укоротить",E5=0),"Нет номера",A5&amp;IF(ISBLANK(I5),"",$K$3&amp;I5)&amp;$K$3&amp;C5&amp;$K$3&amp;E5&amp;IF(ISBLANK(H5),"",$K$3&amp;H5&amp;"pfx")&amp;"@")</calculatedColumnFormula>
    </tableColumn>
    <tableColumn id="10" xr3:uid="{BEDF567E-EC38-409A-BA21-AE5EC8BD9D45}" name="Столбец1" dataDxfId="1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BD479B-C73E-4214-967D-D1135AEA38A2}" name="Таблица1" displayName="Таблица1" ref="A2:I54" totalsRowShown="0" headerRowDxfId="10" dataDxfId="9">
  <autoFilter ref="A2:I54" xr:uid="{CCAD59E9-48E5-431C-BD21-0EBFA266C71A}"/>
  <tableColumns count="9">
    <tableColumn id="1" xr3:uid="{7BB1E31D-2A7B-4EB1-9326-59EB92E466E0}" name="Страна" dataDxfId="8"/>
    <tableColumn id="2" xr3:uid="{BB3FC845-4934-4C19-A420-9EE70C7A6EA4}" name="Провайдер" dataDxfId="7"/>
    <tableColumn id="3" xr3:uid="{501FC4ED-2AF7-498E-9E38-BE7DC7D938D1}" name="АОН" dataDxfId="6"/>
    <tableColumn id="9" xr3:uid="{7EA2984B-5AE5-4B54-8E50-D3FCD5974BD5}" name="Обозначение АОН-а" dataDxfId="5">
      <calculatedColumnFormula>IF(C3="Random","RND",IF(LEN(C3)&gt;15,"Укоротить",IF(C3="Сим-карты","SIM",C3)))</calculatedColumnFormula>
    </tableColumn>
    <tableColumn id="4" xr3:uid="{AA155D4E-E918-4DBB-A5E4-3115FF8710C6}" name="Условия подстановки АОН-а" dataDxfId="4"/>
    <tableColumn id="5" xr3:uid="{2AD298C4-34ED-4589-A21A-20F53963C8F4}" name="Наличие ВЛ" dataDxfId="3"/>
    <tableColumn id="6" xr3:uid="{9ECBA95F-36DB-4743-BCDA-CDDDAFE8EF0E}" name="Префикс" dataDxfId="2"/>
    <tableColumn id="7" xr3:uid="{B50D5247-9FB9-4628-9CDE-2CE13A0406E0}" name="Комментарий" dataDxfId="1"/>
    <tableColumn id="8" xr3:uid="{C9EE9A6D-829C-419B-B67F-E6C93EFAF394}" name="Название маршрута" dataDxfId="0">
      <calculatedColumnFormula>IF(OR(D3="Укоротить",D3=0),"Нет номера",A3&amp;$I$1&amp;B3&amp;$I$1&amp;D3&amp;IF(ISBLANK(G3),"",$I$1&amp;G3&amp;"pfx")&amp;"@")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&#1057;&#1090;&#1088;&#1072;&#1085;&#1072;_&#1055;&#1088;&#1086;&#1074;&#1072;&#1081;&#1076;&#1077;&#1088;_&#1040;&#1054;&#1053;_&#1055;&#1088;&#1077;&#1092;&#1080;&#1082;&#1089;@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6A9DC-A0E3-41BF-9678-5495ABF2388E}">
  <sheetPr codeName="Лист1"/>
  <dimension ref="A1:L652"/>
  <sheetViews>
    <sheetView tabSelected="1" topLeftCell="B1" zoomScale="70" zoomScaleNormal="70" workbookViewId="0">
      <selection activeCell="K453" sqref="K453"/>
    </sheetView>
  </sheetViews>
  <sheetFormatPr defaultRowHeight="15" x14ac:dyDescent="0.25"/>
  <cols>
    <col min="1" max="1" width="31.42578125" style="2" customWidth="1"/>
    <col min="2" max="2" width="13.7109375" style="2" customWidth="1"/>
    <col min="3" max="3" width="25.42578125" style="2" customWidth="1"/>
    <col min="4" max="4" width="30.5703125" style="2" customWidth="1"/>
    <col min="5" max="5" width="25.42578125" style="2" customWidth="1"/>
    <col min="6" max="6" width="68.5703125" style="2" customWidth="1"/>
    <col min="7" max="7" width="17.5703125" style="2" customWidth="1"/>
    <col min="8" max="9" width="17.5703125" style="5" customWidth="1"/>
    <col min="10" max="10" width="30.7109375" style="2" customWidth="1"/>
    <col min="11" max="11" width="52.5703125" style="2" customWidth="1"/>
    <col min="12" max="12" width="57" style="2" customWidth="1"/>
    <col min="13" max="16384" width="9.140625" style="2"/>
  </cols>
  <sheetData>
    <row r="1" spans="1:12" ht="116.25" customHeight="1" thickBot="1" x14ac:dyDescent="0.3">
      <c r="A1" s="36" t="s">
        <v>108</v>
      </c>
      <c r="B1" s="37"/>
      <c r="C1" s="38"/>
      <c r="D1" s="38"/>
      <c r="E1" s="38"/>
      <c r="F1" s="38"/>
      <c r="G1" s="38"/>
      <c r="H1" s="38"/>
      <c r="I1" s="38"/>
      <c r="J1" s="38"/>
      <c r="K1" s="38"/>
      <c r="L1" s="39"/>
    </row>
    <row r="3" spans="1:12" ht="22.5" customHeight="1" x14ac:dyDescent="0.25">
      <c r="J3" s="8" t="s">
        <v>74</v>
      </c>
      <c r="K3" s="7" t="s">
        <v>67</v>
      </c>
      <c r="L3" s="2" t="s">
        <v>73</v>
      </c>
    </row>
    <row r="4" spans="1:12" x14ac:dyDescent="0.25">
      <c r="A4" s="2" t="s">
        <v>0</v>
      </c>
      <c r="B4" s="2" t="s">
        <v>121</v>
      </c>
      <c r="C4" s="2" t="s">
        <v>1</v>
      </c>
      <c r="D4" s="2" t="s">
        <v>2</v>
      </c>
      <c r="E4" s="2" t="s">
        <v>64</v>
      </c>
      <c r="F4" s="2" t="s">
        <v>5</v>
      </c>
      <c r="G4" s="2" t="s">
        <v>6</v>
      </c>
      <c r="H4" s="5" t="s">
        <v>4</v>
      </c>
      <c r="I4" s="5" t="s">
        <v>106</v>
      </c>
      <c r="J4" s="2" t="s">
        <v>44</v>
      </c>
      <c r="K4" s="2" t="s">
        <v>63</v>
      </c>
      <c r="L4" s="2" t="s">
        <v>93</v>
      </c>
    </row>
    <row r="5" spans="1:12" s="4" customFormat="1" ht="30" hidden="1" customHeight="1" x14ac:dyDescent="0.25">
      <c r="A5" s="3" t="s">
        <v>17</v>
      </c>
      <c r="B5" s="4" t="s">
        <v>120</v>
      </c>
      <c r="C5" s="4" t="s">
        <v>9</v>
      </c>
      <c r="D5" s="6" t="s">
        <v>45</v>
      </c>
      <c r="E5" s="4" t="str">
        <f>IF(D5="Random","RND",IF(LEN(D5)&gt;15,"Укоротить",IF(D5="Сим-карты","SIM",D5)))</f>
        <v>RND</v>
      </c>
      <c r="F5" s="4" t="s">
        <v>51</v>
      </c>
      <c r="G5" s="4" t="s">
        <v>46</v>
      </c>
      <c r="H5" s="6"/>
      <c r="I5" s="6"/>
      <c r="J5" s="4" t="s">
        <v>157</v>
      </c>
      <c r="K5" s="9" t="str">
        <f t="shared" ref="K5:K46" si="0">IF(OR(E5="Укоротить",E5=0),"Нет номера",A5&amp;IF(ISBLANK(I5),"",$K$3&amp;I5)&amp;$K$3&amp;C5&amp;$K$3&amp;E5&amp;IF(ISBLANK(H5),"",$K$3&amp;H5&amp;"pfx")&amp;"@")</f>
        <v>Австрия/Miatel/RND@</v>
      </c>
    </row>
    <row r="6" spans="1:12" s="4" customFormat="1" ht="30" hidden="1" customHeight="1" x14ac:dyDescent="0.25">
      <c r="A6" s="3" t="s">
        <v>17</v>
      </c>
      <c r="B6" s="4" t="s">
        <v>120</v>
      </c>
      <c r="C6" s="4" t="s">
        <v>9</v>
      </c>
      <c r="D6" s="6" t="s">
        <v>45</v>
      </c>
      <c r="E6" s="4" t="str">
        <f>IF(D6="Random","RND",IF(LEN(D6)&gt;15,"Укоротить",IF(D6="Сим-карты","SIM",D6)))</f>
        <v>RND</v>
      </c>
      <c r="F6" s="4" t="s">
        <v>405</v>
      </c>
      <c r="G6" s="4" t="s">
        <v>46</v>
      </c>
      <c r="H6" s="6" t="s">
        <v>158</v>
      </c>
      <c r="I6" s="6" t="s">
        <v>400</v>
      </c>
      <c r="J6" s="4" t="s">
        <v>157</v>
      </c>
      <c r="K6" s="28" t="str">
        <f>IF(OR(E6="Укоротить",E6=0),"Нет номера",A6&amp;IF(ISBLANK(I6),"",$K$3&amp;I6)&amp;$K$3&amp;C6&amp;$K$3&amp;E6&amp;IF(ISBLANK(H6),"",$K$3&amp;H6&amp;"pfx")&amp;"@")</f>
        <v>Австрия/ITM/Miatel/RND/0333pfx@</v>
      </c>
      <c r="L6" s="26"/>
    </row>
    <row r="7" spans="1:12" s="4" customFormat="1" ht="30" hidden="1" customHeight="1" x14ac:dyDescent="0.25">
      <c r="A7" s="25" t="s">
        <v>17</v>
      </c>
      <c r="B7" s="22" t="s">
        <v>120</v>
      </c>
      <c r="C7" s="22" t="s">
        <v>7</v>
      </c>
      <c r="D7" s="23" t="s">
        <v>404</v>
      </c>
      <c r="E7" s="22" t="s">
        <v>80</v>
      </c>
      <c r="F7" s="22" t="s">
        <v>413</v>
      </c>
      <c r="G7" s="22" t="s">
        <v>46</v>
      </c>
      <c r="H7" s="23" t="s">
        <v>12</v>
      </c>
      <c r="I7" s="23"/>
      <c r="J7" s="22" t="s">
        <v>88</v>
      </c>
      <c r="K7" s="24" t="str">
        <f t="shared" si="0"/>
        <v>Австрия/Sancom/RND/0789pfx@</v>
      </c>
      <c r="L7" s="22" t="s">
        <v>361</v>
      </c>
    </row>
    <row r="8" spans="1:12" s="4" customFormat="1" ht="30" hidden="1" customHeight="1" x14ac:dyDescent="0.25">
      <c r="A8" s="3" t="s">
        <v>17</v>
      </c>
      <c r="B8" s="4" t="s">
        <v>120</v>
      </c>
      <c r="C8" s="4" t="s">
        <v>7</v>
      </c>
      <c r="D8" s="6" t="s">
        <v>45</v>
      </c>
      <c r="E8" s="4" t="str">
        <f>IF(D8="Random","RND",IF(LEN(D8)&gt;15,"Укоротить",IF(D8="Сим-карты","SIM",D8)))</f>
        <v>RND</v>
      </c>
      <c r="F8" s="4" t="s">
        <v>51</v>
      </c>
      <c r="G8" s="4" t="s">
        <v>46</v>
      </c>
      <c r="H8" s="6" t="s">
        <v>16</v>
      </c>
      <c r="I8" s="6"/>
      <c r="J8" s="4" t="s">
        <v>157</v>
      </c>
      <c r="K8" s="9" t="str">
        <f t="shared" si="0"/>
        <v>Австрия/Sancom/RND/0827pfx@</v>
      </c>
    </row>
    <row r="9" spans="1:12" s="4" customFormat="1" ht="30" hidden="1" customHeight="1" x14ac:dyDescent="0.25">
      <c r="A9" s="3" t="s">
        <v>17</v>
      </c>
      <c r="B9" s="4" t="s">
        <v>120</v>
      </c>
      <c r="C9" s="4" t="s">
        <v>368</v>
      </c>
      <c r="D9" s="6" t="s">
        <v>45</v>
      </c>
      <c r="E9" s="27" t="str">
        <f>IF(D9="Random","RND",IF(LEN(D9)&gt;15,"Укоротить",IF(D9="Сим-карты","SIM",D9)))</f>
        <v>RND</v>
      </c>
      <c r="F9" s="4" t="s">
        <v>51</v>
      </c>
      <c r="G9" s="4" t="s">
        <v>46</v>
      </c>
      <c r="H9" s="6" t="s">
        <v>392</v>
      </c>
      <c r="I9" s="6"/>
      <c r="J9" s="4" t="s">
        <v>88</v>
      </c>
      <c r="K9" s="28" t="str">
        <f>IF(OR(E9="Укоротить",E9=0),"Нет номера",A9&amp;IF(ISBLANK(I9),"",$K$3&amp;I9)&amp;$K$3&amp;C9&amp;$K$3&amp;E9&amp;IF(ISBLANK(H9),"",$K$3&amp;H9&amp;"pfx")&amp;"@")</f>
        <v>Австрия/AOneVoip/RND/01994pfx@</v>
      </c>
      <c r="L9" s="26"/>
    </row>
    <row r="10" spans="1:12" s="4" customFormat="1" ht="30" hidden="1" customHeight="1" x14ac:dyDescent="0.25">
      <c r="A10" s="3" t="s">
        <v>17</v>
      </c>
      <c r="B10" s="4" t="s">
        <v>120</v>
      </c>
      <c r="C10" s="4" t="s">
        <v>8</v>
      </c>
      <c r="D10" s="6" t="s">
        <v>422</v>
      </c>
      <c r="E10" s="2" t="s">
        <v>82</v>
      </c>
      <c r="F10" s="4" t="s">
        <v>421</v>
      </c>
      <c r="G10" s="4" t="s">
        <v>46</v>
      </c>
      <c r="H10" s="6"/>
      <c r="I10" s="6" t="s">
        <v>400</v>
      </c>
      <c r="J10" s="4" t="s">
        <v>88</v>
      </c>
      <c r="K10" s="28" t="str">
        <f>IF(OR(E10="Укоротить",E10=0),"Нет номера",A10&amp;IF(ISBLANK(I10),"",$K$3&amp;I10)&amp;$K$3&amp;C10&amp;$K$3&amp;E10&amp;IF(ISBLANK(H10),"",$K$3&amp;H10&amp;"pfx")&amp;"@")</f>
        <v>Австрия/ITM/Zorra/Pool_B@</v>
      </c>
      <c r="L10" s="26"/>
    </row>
    <row r="11" spans="1:12" s="4" customFormat="1" ht="30" hidden="1" customHeight="1" x14ac:dyDescent="0.25">
      <c r="A11" s="3" t="s">
        <v>17</v>
      </c>
      <c r="B11" s="4" t="s">
        <v>120</v>
      </c>
      <c r="C11" s="4" t="s">
        <v>8</v>
      </c>
      <c r="D11" s="6" t="s">
        <v>423</v>
      </c>
      <c r="E11" s="2" t="s">
        <v>81</v>
      </c>
      <c r="F11" s="4" t="s">
        <v>424</v>
      </c>
      <c r="G11" s="4" t="s">
        <v>46</v>
      </c>
      <c r="H11" s="6"/>
      <c r="I11" s="6"/>
      <c r="J11" s="4" t="s">
        <v>88</v>
      </c>
      <c r="K11" s="28" t="str">
        <f>IF(OR(E11="Укоротить",E11=0),"Нет номера",A11&amp;IF(ISBLANK(I11),"",$K$3&amp;I11)&amp;$K$3&amp;C11&amp;$K$3&amp;E11&amp;IF(ISBLANK(H11),"",$K$3&amp;H11&amp;"pfx")&amp;"@")</f>
        <v>Австрия/Zorra/Pool_A@</v>
      </c>
      <c r="L11" s="26"/>
    </row>
    <row r="12" spans="1:12" s="4" customFormat="1" ht="30" hidden="1" customHeight="1" x14ac:dyDescent="0.25">
      <c r="A12" s="3" t="s">
        <v>17</v>
      </c>
      <c r="B12" s="4" t="s">
        <v>120</v>
      </c>
      <c r="C12" s="4" t="s">
        <v>9</v>
      </c>
      <c r="D12" s="2" t="s">
        <v>281</v>
      </c>
      <c r="E12" s="2" t="s">
        <v>81</v>
      </c>
      <c r="F12" s="4" t="s">
        <v>362</v>
      </c>
      <c r="G12" s="4" t="s">
        <v>46</v>
      </c>
      <c r="H12" s="6"/>
      <c r="I12" s="6"/>
      <c r="J12" s="4" t="s">
        <v>88</v>
      </c>
      <c r="K12" s="9" t="str">
        <f>IF(OR(E12="Укоротить",E12=0),"Нет номера",A12&amp;IF(ISBLANK(I12),"",$K$3&amp;I12)&amp;$K$3&amp;C12&amp;$K$3&amp;E12&amp;IF(ISBLANK(H12),"",$K$3&amp;H12&amp;"pfx")&amp;"@")</f>
        <v>Австрия/Miatel/Pool_A@</v>
      </c>
    </row>
    <row r="13" spans="1:12" s="4" customFormat="1" ht="30" hidden="1" customHeight="1" x14ac:dyDescent="0.25">
      <c r="A13" s="3" t="s">
        <v>17</v>
      </c>
      <c r="B13" s="22" t="s">
        <v>120</v>
      </c>
      <c r="C13" s="22" t="s">
        <v>10</v>
      </c>
      <c r="D13" s="23" t="s">
        <v>281</v>
      </c>
      <c r="E13" s="22" t="s">
        <v>81</v>
      </c>
      <c r="F13" s="22" t="s">
        <v>282</v>
      </c>
      <c r="G13" s="22" t="s">
        <v>48</v>
      </c>
      <c r="H13" s="23"/>
      <c r="I13" s="23"/>
      <c r="J13" s="22"/>
      <c r="K13" s="24" t="str">
        <f t="shared" si="0"/>
        <v>Австрия/Inftele/Pool_A@</v>
      </c>
      <c r="L13" s="22" t="s">
        <v>361</v>
      </c>
    </row>
    <row r="14" spans="1:12" s="4" customFormat="1" ht="30" hidden="1" customHeight="1" x14ac:dyDescent="0.25">
      <c r="A14" s="3" t="s">
        <v>18</v>
      </c>
      <c r="B14" s="4" t="s">
        <v>120</v>
      </c>
      <c r="C14" s="4" t="s">
        <v>9</v>
      </c>
      <c r="D14" s="6" t="s">
        <v>45</v>
      </c>
      <c r="E14" s="4" t="str">
        <f t="shared" ref="E14:E29" si="1">IF(D14="Random","RND",IF(LEN(D14)&gt;15,"Укоротить",IF(D14="Сим-карты","SIM",D14)))</f>
        <v>RND</v>
      </c>
      <c r="F14" s="4" t="s">
        <v>51</v>
      </c>
      <c r="G14" s="4" t="s">
        <v>46</v>
      </c>
      <c r="H14" s="6"/>
      <c r="I14" s="6"/>
      <c r="J14" s="4" t="s">
        <v>88</v>
      </c>
      <c r="K14" s="9" t="str">
        <f t="shared" si="0"/>
        <v>Албания/Miatel/RND@</v>
      </c>
    </row>
    <row r="15" spans="1:12" s="4" customFormat="1" ht="30" hidden="1" customHeight="1" x14ac:dyDescent="0.25">
      <c r="A15" s="3" t="s">
        <v>18</v>
      </c>
      <c r="B15" s="4" t="s">
        <v>120</v>
      </c>
      <c r="C15" s="4" t="s">
        <v>7</v>
      </c>
      <c r="D15" s="6" t="s">
        <v>45</v>
      </c>
      <c r="E15" s="4" t="str">
        <f t="shared" si="1"/>
        <v>RND</v>
      </c>
      <c r="F15" s="4" t="s">
        <v>51</v>
      </c>
      <c r="G15" s="4" t="s">
        <v>46</v>
      </c>
      <c r="H15" s="6" t="s">
        <v>12</v>
      </c>
      <c r="I15" s="6"/>
      <c r="J15" s="4" t="s">
        <v>88</v>
      </c>
      <c r="K15" s="9" t="str">
        <f t="shared" si="0"/>
        <v>Албания/Sancom/RND/0789pfx@</v>
      </c>
    </row>
    <row r="16" spans="1:12" s="4" customFormat="1" ht="30" hidden="1" customHeight="1" x14ac:dyDescent="0.25">
      <c r="A16" s="3" t="s">
        <v>300</v>
      </c>
      <c r="B16" s="4" t="s">
        <v>120</v>
      </c>
      <c r="C16" s="4" t="s">
        <v>9</v>
      </c>
      <c r="D16" s="6" t="s">
        <v>45</v>
      </c>
      <c r="E16" s="4" t="str">
        <f t="shared" si="1"/>
        <v>RND</v>
      </c>
      <c r="F16" s="4" t="s">
        <v>51</v>
      </c>
      <c r="G16" s="4" t="s">
        <v>46</v>
      </c>
      <c r="H16" s="6"/>
      <c r="I16" s="6"/>
      <c r="J16" s="4" t="s">
        <v>88</v>
      </c>
      <c r="K16" s="9" t="str">
        <f t="shared" si="0"/>
        <v>Алжир/Miatel/RND@</v>
      </c>
    </row>
    <row r="17" spans="1:12" s="4" customFormat="1" ht="30" hidden="1" customHeight="1" x14ac:dyDescent="0.25">
      <c r="A17" s="3" t="s">
        <v>300</v>
      </c>
      <c r="B17" s="4" t="s">
        <v>120</v>
      </c>
      <c r="C17" s="4" t="s">
        <v>7</v>
      </c>
      <c r="D17" s="6" t="s">
        <v>45</v>
      </c>
      <c r="E17" s="4" t="str">
        <f t="shared" si="1"/>
        <v>RND</v>
      </c>
      <c r="F17" s="4" t="s">
        <v>51</v>
      </c>
      <c r="G17" s="4" t="s">
        <v>46</v>
      </c>
      <c r="H17" s="6" t="s">
        <v>16</v>
      </c>
      <c r="I17" s="6"/>
      <c r="J17" s="4" t="s">
        <v>88</v>
      </c>
      <c r="K17" s="9" t="str">
        <f t="shared" si="0"/>
        <v>Алжир/Sancom/RND/0827pfx@</v>
      </c>
    </row>
    <row r="18" spans="1:12" s="4" customFormat="1" ht="30" hidden="1" customHeight="1" x14ac:dyDescent="0.25">
      <c r="A18" s="3" t="s">
        <v>161</v>
      </c>
      <c r="B18" s="4" t="s">
        <v>120</v>
      </c>
      <c r="C18" s="4" t="s">
        <v>9</v>
      </c>
      <c r="D18" s="6" t="s">
        <v>45</v>
      </c>
      <c r="E18" s="4" t="str">
        <f t="shared" si="1"/>
        <v>RND</v>
      </c>
      <c r="F18" s="4" t="s">
        <v>358</v>
      </c>
      <c r="G18" s="4" t="s">
        <v>46</v>
      </c>
      <c r="H18" s="6"/>
      <c r="I18" s="6"/>
      <c r="J18" s="4" t="s">
        <v>88</v>
      </c>
      <c r="K18" s="9" t="str">
        <f t="shared" si="0"/>
        <v>Аргентина/Miatel/RND@</v>
      </c>
    </row>
    <row r="19" spans="1:12" s="4" customFormat="1" ht="30" hidden="1" customHeight="1" x14ac:dyDescent="0.25">
      <c r="A19" s="3" t="s">
        <v>161</v>
      </c>
      <c r="B19" s="4" t="s">
        <v>120</v>
      </c>
      <c r="C19" s="4" t="s">
        <v>7</v>
      </c>
      <c r="D19" s="6" t="s">
        <v>45</v>
      </c>
      <c r="E19" s="4" t="str">
        <f t="shared" si="1"/>
        <v>RND</v>
      </c>
      <c r="F19" s="4" t="s">
        <v>51</v>
      </c>
      <c r="G19" s="4" t="s">
        <v>46</v>
      </c>
      <c r="H19" s="6" t="s">
        <v>12</v>
      </c>
      <c r="I19" s="6"/>
      <c r="J19" s="4" t="s">
        <v>88</v>
      </c>
      <c r="K19" s="9" t="str">
        <f t="shared" si="0"/>
        <v>Аргентина/Sancom/RND/0789pfx@</v>
      </c>
    </row>
    <row r="20" spans="1:12" s="4" customFormat="1" ht="30" hidden="1" customHeight="1" x14ac:dyDescent="0.25">
      <c r="A20" s="3" t="s">
        <v>161</v>
      </c>
      <c r="B20" s="4" t="s">
        <v>120</v>
      </c>
      <c r="C20" s="4" t="s">
        <v>8</v>
      </c>
      <c r="D20" s="6" t="s">
        <v>45</v>
      </c>
      <c r="E20" s="4" t="str">
        <f t="shared" si="1"/>
        <v>RND</v>
      </c>
      <c r="F20" s="4" t="s">
        <v>51</v>
      </c>
      <c r="G20" s="4" t="s">
        <v>46</v>
      </c>
      <c r="H20" s="6"/>
      <c r="I20" s="6"/>
      <c r="J20" s="4" t="s">
        <v>88</v>
      </c>
      <c r="K20" s="9" t="str">
        <f t="shared" si="0"/>
        <v>Аргентина/Zorra/RND@</v>
      </c>
    </row>
    <row r="21" spans="1:12" s="4" customFormat="1" ht="30" hidden="1" customHeight="1" x14ac:dyDescent="0.25">
      <c r="A21" s="3" t="s">
        <v>320</v>
      </c>
      <c r="B21" s="4" t="s">
        <v>120</v>
      </c>
      <c r="C21" s="4" t="s">
        <v>9</v>
      </c>
      <c r="D21" s="6" t="s">
        <v>45</v>
      </c>
      <c r="E21" s="4" t="str">
        <f t="shared" si="1"/>
        <v>RND</v>
      </c>
      <c r="F21" s="4" t="s">
        <v>51</v>
      </c>
      <c r="G21" s="4" t="s">
        <v>46</v>
      </c>
      <c r="H21" s="6"/>
      <c r="I21" s="6"/>
      <c r="J21" s="4" t="s">
        <v>88</v>
      </c>
      <c r="K21" s="9" t="str">
        <f t="shared" si="0"/>
        <v>Бахрейн/Miatel/RND@</v>
      </c>
    </row>
    <row r="22" spans="1:12" s="4" customFormat="1" ht="30" hidden="1" customHeight="1" x14ac:dyDescent="0.25">
      <c r="A22" s="3" t="s">
        <v>320</v>
      </c>
      <c r="B22" s="4" t="s">
        <v>120</v>
      </c>
      <c r="C22" s="4" t="s">
        <v>7</v>
      </c>
      <c r="D22" s="6" t="s">
        <v>45</v>
      </c>
      <c r="E22" s="4" t="str">
        <f t="shared" si="1"/>
        <v>RND</v>
      </c>
      <c r="F22" s="4" t="s">
        <v>51</v>
      </c>
      <c r="G22" s="4" t="s">
        <v>46</v>
      </c>
      <c r="H22" s="6" t="s">
        <v>12</v>
      </c>
      <c r="I22" s="6"/>
      <c r="J22" s="4" t="s">
        <v>88</v>
      </c>
      <c r="K22" s="9" t="str">
        <f t="shared" si="0"/>
        <v>Бахрейн/Sancom/RND/0789pfx@</v>
      </c>
    </row>
    <row r="23" spans="1:12" s="4" customFormat="1" ht="30" hidden="1" customHeight="1" x14ac:dyDescent="0.25">
      <c r="A23" s="3" t="s">
        <v>320</v>
      </c>
      <c r="B23" s="4" t="s">
        <v>120</v>
      </c>
      <c r="C23" s="4" t="s">
        <v>8</v>
      </c>
      <c r="D23" s="6" t="s">
        <v>45</v>
      </c>
      <c r="E23" s="4" t="str">
        <f t="shared" si="1"/>
        <v>RND</v>
      </c>
      <c r="F23" s="4" t="s">
        <v>51</v>
      </c>
      <c r="G23" s="4" t="s">
        <v>46</v>
      </c>
      <c r="H23" s="6"/>
      <c r="I23" s="6"/>
      <c r="J23" s="4" t="s">
        <v>88</v>
      </c>
      <c r="K23" s="9" t="str">
        <f t="shared" si="0"/>
        <v>Бахрейн/Zorra/RND@</v>
      </c>
    </row>
    <row r="24" spans="1:12" s="4" customFormat="1" ht="30" hidden="1" customHeight="1" x14ac:dyDescent="0.25">
      <c r="A24" s="3" t="s">
        <v>320</v>
      </c>
      <c r="B24" s="4" t="s">
        <v>120</v>
      </c>
      <c r="C24" s="4" t="s">
        <v>10</v>
      </c>
      <c r="D24" s="6" t="s">
        <v>45</v>
      </c>
      <c r="E24" s="4" t="str">
        <f t="shared" si="1"/>
        <v>RND</v>
      </c>
      <c r="F24" s="4" t="s">
        <v>51</v>
      </c>
      <c r="G24" s="4" t="s">
        <v>46</v>
      </c>
      <c r="H24" s="6"/>
      <c r="I24" s="6"/>
      <c r="J24" s="4" t="s">
        <v>88</v>
      </c>
      <c r="K24" s="9" t="str">
        <f t="shared" si="0"/>
        <v>Бахрейн/Inftele/RND@</v>
      </c>
    </row>
    <row r="25" spans="1:12" s="4" customFormat="1" ht="30" hidden="1" customHeight="1" x14ac:dyDescent="0.25">
      <c r="A25" s="3" t="s">
        <v>212</v>
      </c>
      <c r="B25" s="4" t="s">
        <v>120</v>
      </c>
      <c r="C25" s="4" t="s">
        <v>9</v>
      </c>
      <c r="D25" s="6" t="s">
        <v>45</v>
      </c>
      <c r="E25" s="4" t="str">
        <f t="shared" si="1"/>
        <v>RND</v>
      </c>
      <c r="F25" s="4" t="s">
        <v>51</v>
      </c>
      <c r="G25" s="4" t="s">
        <v>46</v>
      </c>
      <c r="H25" s="6"/>
      <c r="I25" s="6"/>
      <c r="J25" s="4" t="s">
        <v>88</v>
      </c>
      <c r="K25" s="9" t="str">
        <f t="shared" si="0"/>
        <v>Беларусь/Miatel/RND@</v>
      </c>
    </row>
    <row r="26" spans="1:12" s="4" customFormat="1" ht="30" hidden="1" customHeight="1" x14ac:dyDescent="0.25">
      <c r="A26" s="3" t="s">
        <v>92</v>
      </c>
      <c r="B26" s="4" t="s">
        <v>120</v>
      </c>
      <c r="C26" s="4" t="s">
        <v>9</v>
      </c>
      <c r="D26" s="6" t="s">
        <v>45</v>
      </c>
      <c r="E26" s="4" t="str">
        <f t="shared" si="1"/>
        <v>RND</v>
      </c>
      <c r="F26" s="4" t="s">
        <v>51</v>
      </c>
      <c r="G26" s="4" t="s">
        <v>46</v>
      </c>
      <c r="H26" s="6"/>
      <c r="I26" s="6"/>
      <c r="J26" s="4" t="s">
        <v>89</v>
      </c>
      <c r="K26" s="9" t="str">
        <f t="shared" si="0"/>
        <v>Бельгия/Miatel/RND@</v>
      </c>
      <c r="L26" s="4" t="s">
        <v>248</v>
      </c>
    </row>
    <row r="27" spans="1:12" s="4" customFormat="1" ht="30" hidden="1" customHeight="1" x14ac:dyDescent="0.25">
      <c r="A27" s="3" t="s">
        <v>92</v>
      </c>
      <c r="B27" s="4" t="s">
        <v>120</v>
      </c>
      <c r="C27" s="4" t="s">
        <v>7</v>
      </c>
      <c r="D27" s="6" t="s">
        <v>45</v>
      </c>
      <c r="E27" s="4" t="str">
        <f t="shared" ref="E27" si="2">IF(D27="Random","RND",IF(LEN(D27)&gt;15,"Укоротить",IF(D27="Сим-карты","SIM",D27)))</f>
        <v>RND</v>
      </c>
      <c r="F27" s="4" t="s">
        <v>51</v>
      </c>
      <c r="G27" s="4" t="s">
        <v>46</v>
      </c>
      <c r="H27" s="6" t="s">
        <v>366</v>
      </c>
      <c r="I27" s="6"/>
      <c r="J27" s="4" t="s">
        <v>89</v>
      </c>
      <c r="K27" s="9" t="str">
        <f t="shared" ref="K27" si="3">IF(OR(E27="Укоротить",E27=0),"Нет номера",A27&amp;IF(ISBLANK(I27),"",$K$3&amp;I27)&amp;$K$3&amp;C27&amp;$K$3&amp;E27&amp;IF(ISBLANK(H27),"",$K$3&amp;H27&amp;"pfx")&amp;"@")</f>
        <v>Бельгия/Sancom/RND/0825pfx@</v>
      </c>
      <c r="L27" s="4" t="s">
        <v>248</v>
      </c>
    </row>
    <row r="28" spans="1:12" s="4" customFormat="1" ht="30" hidden="1" customHeight="1" x14ac:dyDescent="0.25">
      <c r="A28" s="3" t="s">
        <v>92</v>
      </c>
      <c r="B28" s="4" t="s">
        <v>120</v>
      </c>
      <c r="C28" s="4" t="s">
        <v>7</v>
      </c>
      <c r="D28" s="6" t="s">
        <v>45</v>
      </c>
      <c r="E28" s="4" t="str">
        <f t="shared" si="1"/>
        <v>RND</v>
      </c>
      <c r="F28" s="4" t="s">
        <v>51</v>
      </c>
      <c r="G28" s="4" t="s">
        <v>46</v>
      </c>
      <c r="H28" s="6" t="s">
        <v>16</v>
      </c>
      <c r="I28" s="6"/>
      <c r="J28" s="4" t="s">
        <v>89</v>
      </c>
      <c r="K28" s="9" t="str">
        <f t="shared" si="0"/>
        <v>Бельгия/Sancom/RND/0827pfx@</v>
      </c>
      <c r="L28" s="4" t="s">
        <v>364</v>
      </c>
    </row>
    <row r="29" spans="1:12" s="4" customFormat="1" ht="30" hidden="1" customHeight="1" x14ac:dyDescent="0.25">
      <c r="A29" s="3" t="s">
        <v>92</v>
      </c>
      <c r="B29" s="4" t="s">
        <v>120</v>
      </c>
      <c r="C29" s="4" t="s">
        <v>8</v>
      </c>
      <c r="D29" s="6" t="s">
        <v>420</v>
      </c>
      <c r="E29" s="4" t="str">
        <f t="shared" si="1"/>
        <v>Укоротить</v>
      </c>
      <c r="F29" s="4" t="s">
        <v>419</v>
      </c>
      <c r="G29" s="4" t="s">
        <v>46</v>
      </c>
      <c r="H29" s="6"/>
      <c r="I29" s="6"/>
      <c r="J29" s="4" t="s">
        <v>417</v>
      </c>
      <c r="K29" s="9" t="s">
        <v>365</v>
      </c>
      <c r="L29" s="4" t="s">
        <v>418</v>
      </c>
    </row>
    <row r="30" spans="1:12" s="4" customFormat="1" ht="30" hidden="1" customHeight="1" x14ac:dyDescent="0.25">
      <c r="A30" s="3" t="s">
        <v>92</v>
      </c>
      <c r="B30" s="4" t="s">
        <v>120</v>
      </c>
      <c r="C30" s="4" t="s">
        <v>368</v>
      </c>
      <c r="D30" s="6" t="s">
        <v>45</v>
      </c>
      <c r="E30" s="27" t="str">
        <f>IF(D30="Random","RND",IF(LEN(D30)&gt;15,"Укоротить",IF(D30="Сим-карты","SIM",D30)))</f>
        <v>RND</v>
      </c>
      <c r="F30" s="4" t="s">
        <v>377</v>
      </c>
      <c r="G30" s="4" t="s">
        <v>46</v>
      </c>
      <c r="H30" s="6"/>
      <c r="I30" s="6"/>
      <c r="J30" s="4" t="s">
        <v>88</v>
      </c>
      <c r="K30" s="9" t="s">
        <v>369</v>
      </c>
      <c r="L30" s="26" t="s">
        <v>88</v>
      </c>
    </row>
    <row r="31" spans="1:12" s="4" customFormat="1" ht="30" hidden="1" customHeight="1" x14ac:dyDescent="0.25">
      <c r="A31" s="3" t="s">
        <v>92</v>
      </c>
      <c r="B31" s="4" t="s">
        <v>120</v>
      </c>
      <c r="C31" s="4" t="s">
        <v>8</v>
      </c>
      <c r="D31" s="6" t="s">
        <v>45</v>
      </c>
      <c r="E31" s="4" t="s">
        <v>80</v>
      </c>
      <c r="F31" s="4" t="s">
        <v>51</v>
      </c>
      <c r="G31" s="4" t="s">
        <v>46</v>
      </c>
      <c r="H31" s="6"/>
      <c r="I31" s="6"/>
      <c r="J31" s="4" t="s">
        <v>88</v>
      </c>
      <c r="K31" s="9" t="str">
        <f t="shared" si="0"/>
        <v>Бельгия/Zorra/RND@</v>
      </c>
      <c r="L31" s="4" t="s">
        <v>417</v>
      </c>
    </row>
    <row r="32" spans="1:12" s="4" customFormat="1" ht="30" hidden="1" customHeight="1" x14ac:dyDescent="0.25">
      <c r="A32" s="3" t="s">
        <v>92</v>
      </c>
      <c r="B32" s="4" t="s">
        <v>120</v>
      </c>
      <c r="C32" s="4" t="s">
        <v>280</v>
      </c>
      <c r="D32" s="6" t="s">
        <v>45</v>
      </c>
      <c r="E32" s="4" t="str">
        <f t="shared" ref="E32:E61" si="4">IF(D32="Random","RND",IF(LEN(D32)&gt;15,"Укоротить",IF(D32="Сим-карты","SIM",D32)))</f>
        <v>RND</v>
      </c>
      <c r="F32" s="4" t="s">
        <v>51</v>
      </c>
      <c r="G32" s="4" t="s">
        <v>46</v>
      </c>
      <c r="H32" s="6"/>
      <c r="I32" s="6"/>
      <c r="J32" s="4" t="s">
        <v>88</v>
      </c>
      <c r="K32" s="9" t="str">
        <f t="shared" si="0"/>
        <v>Бельгия/UniTalk/RND@</v>
      </c>
    </row>
    <row r="33" spans="1:12" s="4" customFormat="1" ht="30" hidden="1" customHeight="1" x14ac:dyDescent="0.25">
      <c r="A33" s="3" t="s">
        <v>92</v>
      </c>
      <c r="B33" s="4" t="s">
        <v>120</v>
      </c>
      <c r="C33" s="4" t="s">
        <v>352</v>
      </c>
      <c r="D33" s="6" t="s">
        <v>380</v>
      </c>
      <c r="E33" s="4" t="s">
        <v>82</v>
      </c>
      <c r="F33" s="4" t="s">
        <v>385</v>
      </c>
      <c r="G33" s="4" t="s">
        <v>46</v>
      </c>
      <c r="H33" s="6"/>
      <c r="I33" s="6"/>
      <c r="J33" s="4" t="s">
        <v>89</v>
      </c>
      <c r="K33" s="9" t="str">
        <f>IF(OR(E33="Укоротить",E33=0),"Нет номера",A33&amp;IF(ISBLANK(I33),"",$K$3&amp;I33)&amp;$K$3&amp;C33&amp;$K$3&amp;E33&amp;IF(ISBLANK(H33),"",$K$3&amp;H33&amp;"pfx")&amp;"@")</f>
        <v>Бельгия/Rocketcalls/Pool_B@</v>
      </c>
      <c r="L33" s="4" t="s">
        <v>386</v>
      </c>
    </row>
    <row r="34" spans="1:12" s="4" customFormat="1" ht="30" hidden="1" customHeight="1" x14ac:dyDescent="0.25">
      <c r="A34" s="25" t="s">
        <v>92</v>
      </c>
      <c r="B34" s="22" t="s">
        <v>120</v>
      </c>
      <c r="C34" s="22" t="s">
        <v>352</v>
      </c>
      <c r="D34" s="23" t="s">
        <v>353</v>
      </c>
      <c r="E34" s="22" t="s">
        <v>81</v>
      </c>
      <c r="F34" s="22" t="s">
        <v>354</v>
      </c>
      <c r="G34" s="22" t="s">
        <v>46</v>
      </c>
      <c r="H34" s="23"/>
      <c r="I34" s="23"/>
      <c r="J34" s="22" t="s">
        <v>88</v>
      </c>
      <c r="K34" s="24" t="str">
        <f>IF(OR(E34="Укоротить",E34=0),"Нет номера",A34&amp;IF(ISBLANK(I34),"",$K$3&amp;I34)&amp;$K$3&amp;C34&amp;$K$3&amp;E34&amp;IF(ISBLANK(H34),"",$K$3&amp;H34&amp;"pfx")&amp;"@")</f>
        <v>Бельгия/Rocketcalls/Pool_A@</v>
      </c>
      <c r="L34" s="22"/>
    </row>
    <row r="35" spans="1:12" s="4" customFormat="1" ht="30" hidden="1" customHeight="1" x14ac:dyDescent="0.25">
      <c r="A35" s="3" t="s">
        <v>19</v>
      </c>
      <c r="B35" s="4" t="s">
        <v>120</v>
      </c>
      <c r="C35" s="4" t="s">
        <v>9</v>
      </c>
      <c r="D35" s="6" t="s">
        <v>45</v>
      </c>
      <c r="E35" s="4" t="str">
        <f t="shared" si="4"/>
        <v>RND</v>
      </c>
      <c r="F35" s="4" t="s">
        <v>51</v>
      </c>
      <c r="G35" s="4" t="s">
        <v>46</v>
      </c>
      <c r="H35" s="6"/>
      <c r="I35" s="6"/>
      <c r="J35" s="4" t="s">
        <v>91</v>
      </c>
      <c r="K35" s="9" t="str">
        <f t="shared" si="0"/>
        <v>Болгария/Miatel/RND@</v>
      </c>
    </row>
    <row r="36" spans="1:12" s="4" customFormat="1" ht="30" hidden="1" customHeight="1" x14ac:dyDescent="0.25">
      <c r="A36" s="3" t="s">
        <v>19</v>
      </c>
      <c r="B36" s="4" t="s">
        <v>120</v>
      </c>
      <c r="C36" s="4" t="s">
        <v>7</v>
      </c>
      <c r="D36" s="6" t="s">
        <v>45</v>
      </c>
      <c r="E36" s="4" t="str">
        <f t="shared" si="4"/>
        <v>RND</v>
      </c>
      <c r="F36" s="4" t="s">
        <v>51</v>
      </c>
      <c r="G36" s="4" t="s">
        <v>46</v>
      </c>
      <c r="H36" s="6" t="s">
        <v>12</v>
      </c>
      <c r="I36" s="6"/>
      <c r="J36" s="4" t="s">
        <v>192</v>
      </c>
      <c r="K36" s="9" t="str">
        <f t="shared" si="0"/>
        <v>Болгария/Sancom/RND/0789pfx@</v>
      </c>
    </row>
    <row r="37" spans="1:12" s="4" customFormat="1" ht="30" hidden="1" customHeight="1" x14ac:dyDescent="0.25">
      <c r="A37" s="3" t="s">
        <v>19</v>
      </c>
      <c r="B37" s="4" t="s">
        <v>120</v>
      </c>
      <c r="C37" s="4" t="s">
        <v>7</v>
      </c>
      <c r="D37" s="6" t="s">
        <v>45</v>
      </c>
      <c r="E37" s="4" t="str">
        <f t="shared" si="4"/>
        <v>RND</v>
      </c>
      <c r="F37" s="4" t="s">
        <v>51</v>
      </c>
      <c r="G37" s="4" t="s">
        <v>46</v>
      </c>
      <c r="H37" s="6" t="s">
        <v>16</v>
      </c>
      <c r="I37" s="6"/>
      <c r="J37" s="4" t="s">
        <v>88</v>
      </c>
      <c r="K37" s="9" t="str">
        <f t="shared" si="0"/>
        <v>Болгария/Sancom/RND/0827pfx@</v>
      </c>
    </row>
    <row r="38" spans="1:12" s="4" customFormat="1" ht="30" hidden="1" customHeight="1" x14ac:dyDescent="0.25">
      <c r="A38" s="3" t="s">
        <v>19</v>
      </c>
      <c r="B38" s="4" t="s">
        <v>120</v>
      </c>
      <c r="C38" s="4" t="s">
        <v>8</v>
      </c>
      <c r="D38" s="6" t="s">
        <v>45</v>
      </c>
      <c r="E38" s="4" t="str">
        <f t="shared" si="4"/>
        <v>RND</v>
      </c>
      <c r="F38" s="4" t="s">
        <v>51</v>
      </c>
      <c r="G38" s="4" t="s">
        <v>46</v>
      </c>
      <c r="H38" s="6"/>
      <c r="I38" s="6"/>
      <c r="J38" s="4" t="s">
        <v>89</v>
      </c>
      <c r="K38" s="9" t="str">
        <f t="shared" si="0"/>
        <v>Болгария/Zorra/RND@</v>
      </c>
    </row>
    <row r="39" spans="1:12" s="4" customFormat="1" ht="30" hidden="1" customHeight="1" x14ac:dyDescent="0.25">
      <c r="A39" s="3" t="s">
        <v>245</v>
      </c>
      <c r="B39" s="4" t="s">
        <v>120</v>
      </c>
      <c r="C39" s="4" t="s">
        <v>9</v>
      </c>
      <c r="D39" s="6" t="s">
        <v>45</v>
      </c>
      <c r="E39" s="4" t="str">
        <f t="shared" si="4"/>
        <v>RND</v>
      </c>
      <c r="F39" s="4" t="s">
        <v>51</v>
      </c>
      <c r="G39" s="4" t="s">
        <v>46</v>
      </c>
      <c r="H39" s="6"/>
      <c r="I39" s="6"/>
      <c r="J39" s="4" t="s">
        <v>88</v>
      </c>
      <c r="K39" s="9" t="str">
        <f t="shared" si="0"/>
        <v>Боливия/Miatel/RND@</v>
      </c>
    </row>
    <row r="40" spans="1:12" s="4" customFormat="1" ht="30" hidden="1" customHeight="1" x14ac:dyDescent="0.25">
      <c r="A40" s="3" t="s">
        <v>245</v>
      </c>
      <c r="B40" s="4" t="s">
        <v>120</v>
      </c>
      <c r="C40" s="4" t="s">
        <v>7</v>
      </c>
      <c r="D40" s="6" t="s">
        <v>45</v>
      </c>
      <c r="E40" s="4" t="str">
        <f t="shared" si="4"/>
        <v>RND</v>
      </c>
      <c r="F40" s="4" t="s">
        <v>51</v>
      </c>
      <c r="G40" s="4" t="s">
        <v>46</v>
      </c>
      <c r="H40" s="6" t="s">
        <v>12</v>
      </c>
      <c r="I40" s="6"/>
      <c r="J40" s="4" t="s">
        <v>88</v>
      </c>
      <c r="K40" s="9" t="str">
        <f t="shared" si="0"/>
        <v>Боливия/Sancom/RND/0789pfx@</v>
      </c>
    </row>
    <row r="41" spans="1:12" s="4" customFormat="1" ht="30" hidden="1" customHeight="1" x14ac:dyDescent="0.25">
      <c r="A41" s="3" t="s">
        <v>245</v>
      </c>
      <c r="B41" s="4" t="s">
        <v>120</v>
      </c>
      <c r="C41" s="4" t="s">
        <v>8</v>
      </c>
      <c r="D41" s="6" t="s">
        <v>45</v>
      </c>
      <c r="E41" s="4" t="str">
        <f t="shared" si="4"/>
        <v>RND</v>
      </c>
      <c r="F41" s="4" t="s">
        <v>51</v>
      </c>
      <c r="G41" s="4" t="s">
        <v>46</v>
      </c>
      <c r="H41" s="6"/>
      <c r="I41" s="6"/>
      <c r="J41" s="4" t="s">
        <v>88</v>
      </c>
      <c r="K41" s="9" t="str">
        <f t="shared" si="0"/>
        <v>Боливия/Zorra/RND@</v>
      </c>
    </row>
    <row r="42" spans="1:12" s="4" customFormat="1" ht="30" hidden="1" customHeight="1" x14ac:dyDescent="0.25">
      <c r="A42" s="3" t="s">
        <v>245</v>
      </c>
      <c r="B42" s="4" t="s">
        <v>120</v>
      </c>
      <c r="C42" s="4" t="s">
        <v>11</v>
      </c>
      <c r="D42" s="6" t="s">
        <v>50</v>
      </c>
      <c r="E42" s="4" t="str">
        <f t="shared" si="4"/>
        <v>SIM</v>
      </c>
      <c r="F42" s="4" t="s">
        <v>51</v>
      </c>
      <c r="H42" s="6"/>
      <c r="I42" s="6"/>
      <c r="J42" s="4" t="s">
        <v>88</v>
      </c>
      <c r="K42" s="9" t="str">
        <f t="shared" si="0"/>
        <v>Боливия/Шлюз/SIM@</v>
      </c>
    </row>
    <row r="43" spans="1:12" s="4" customFormat="1" ht="30" hidden="1" customHeight="1" x14ac:dyDescent="0.25">
      <c r="A43" s="3" t="s">
        <v>207</v>
      </c>
      <c r="B43" s="4" t="s">
        <v>120</v>
      </c>
      <c r="C43" s="4" t="s">
        <v>9</v>
      </c>
      <c r="D43" s="6" t="s">
        <v>45</v>
      </c>
      <c r="E43" s="4" t="str">
        <f t="shared" si="4"/>
        <v>RND</v>
      </c>
      <c r="F43" s="4" t="s">
        <v>51</v>
      </c>
      <c r="G43" s="4" t="s">
        <v>46</v>
      </c>
      <c r="H43" s="6"/>
      <c r="I43" s="6"/>
      <c r="J43" s="4" t="s">
        <v>88</v>
      </c>
      <c r="K43" s="9" t="str">
        <f t="shared" si="0"/>
        <v>Босния/Miatel/RND@</v>
      </c>
    </row>
    <row r="44" spans="1:12" s="4" customFormat="1" ht="30" hidden="1" customHeight="1" x14ac:dyDescent="0.25">
      <c r="A44" s="3" t="s">
        <v>207</v>
      </c>
      <c r="B44" s="4" t="s">
        <v>120</v>
      </c>
      <c r="C44" s="4" t="s">
        <v>7</v>
      </c>
      <c r="D44" s="6" t="s">
        <v>45</v>
      </c>
      <c r="E44" s="4" t="str">
        <f t="shared" si="4"/>
        <v>RND</v>
      </c>
      <c r="F44" s="4" t="s">
        <v>51</v>
      </c>
      <c r="G44" s="4" t="s">
        <v>46</v>
      </c>
      <c r="H44" s="6" t="s">
        <v>12</v>
      </c>
      <c r="I44" s="6"/>
      <c r="J44" s="4" t="s">
        <v>88</v>
      </c>
      <c r="K44" s="9" t="str">
        <f t="shared" si="0"/>
        <v>Босния/Sancom/RND/0789pfx@</v>
      </c>
    </row>
    <row r="45" spans="1:12" s="4" customFormat="1" ht="30" hidden="1" customHeight="1" x14ac:dyDescent="0.25">
      <c r="A45" s="3" t="s">
        <v>207</v>
      </c>
      <c r="B45" s="4" t="s">
        <v>120</v>
      </c>
      <c r="C45" s="4" t="s">
        <v>8</v>
      </c>
      <c r="D45" s="6" t="s">
        <v>45</v>
      </c>
      <c r="E45" s="4" t="str">
        <f t="shared" si="4"/>
        <v>RND</v>
      </c>
      <c r="F45" s="4" t="s">
        <v>51</v>
      </c>
      <c r="G45" s="4" t="s">
        <v>46</v>
      </c>
      <c r="H45" s="6"/>
      <c r="I45" s="6"/>
      <c r="J45" s="4" t="s">
        <v>88</v>
      </c>
      <c r="K45" s="9" t="str">
        <f t="shared" si="0"/>
        <v>Босния/Zorra/RND@</v>
      </c>
    </row>
    <row r="46" spans="1:12" s="4" customFormat="1" ht="30" hidden="1" customHeight="1" x14ac:dyDescent="0.25">
      <c r="A46" s="3" t="s">
        <v>168</v>
      </c>
      <c r="B46" s="4" t="s">
        <v>120</v>
      </c>
      <c r="C46" s="4" t="s">
        <v>9</v>
      </c>
      <c r="D46" s="6" t="s">
        <v>45</v>
      </c>
      <c r="E46" s="4" t="str">
        <f t="shared" si="4"/>
        <v>RND</v>
      </c>
      <c r="F46" s="4" t="s">
        <v>51</v>
      </c>
      <c r="G46" s="4" t="s">
        <v>46</v>
      </c>
      <c r="H46" s="6"/>
      <c r="I46" s="6"/>
      <c r="J46" s="4" t="s">
        <v>88</v>
      </c>
      <c r="K46" s="9" t="str">
        <f t="shared" si="0"/>
        <v>Бразилия/Miatel/RND@</v>
      </c>
    </row>
    <row r="47" spans="1:12" s="4" customFormat="1" ht="30" hidden="1" customHeight="1" x14ac:dyDescent="0.25">
      <c r="A47" s="3" t="s">
        <v>168</v>
      </c>
      <c r="B47" s="4" t="s">
        <v>120</v>
      </c>
      <c r="C47" s="4" t="s">
        <v>9</v>
      </c>
      <c r="D47" s="6" t="s">
        <v>425</v>
      </c>
      <c r="E47" s="27" t="s">
        <v>81</v>
      </c>
      <c r="F47" s="4" t="s">
        <v>427</v>
      </c>
      <c r="G47" s="4" t="s">
        <v>46</v>
      </c>
      <c r="H47" s="6"/>
      <c r="I47" s="6"/>
      <c r="J47" s="4" t="s">
        <v>396</v>
      </c>
      <c r="K47" s="28" t="str">
        <f>IF(OR(E47="Укоротить",E47=0),"Нет номера",A47&amp;IF(ISBLANK(I47),"",$K$3&amp;I47)&amp;$K$3&amp;C47&amp;$K$3&amp;E47&amp;IF(ISBLANK(H47),"",$K$3&amp;H47&amp;"pfx")&amp;"@")</f>
        <v>Бразилия/Miatel/Pool_A@</v>
      </c>
      <c r="L47" s="26" t="s">
        <v>429</v>
      </c>
    </row>
    <row r="48" spans="1:12" s="4" customFormat="1" ht="30" hidden="1" customHeight="1" x14ac:dyDescent="0.25">
      <c r="A48" s="3" t="s">
        <v>168</v>
      </c>
      <c r="B48" s="4" t="s">
        <v>120</v>
      </c>
      <c r="C48" s="4" t="s">
        <v>9</v>
      </c>
      <c r="D48" s="6" t="s">
        <v>426</v>
      </c>
      <c r="E48" s="27" t="s">
        <v>82</v>
      </c>
      <c r="F48" s="4" t="s">
        <v>428</v>
      </c>
      <c r="G48" s="4" t="s">
        <v>46</v>
      </c>
      <c r="H48" s="6"/>
      <c r="I48" s="6"/>
      <c r="J48" s="4" t="s">
        <v>396</v>
      </c>
      <c r="K48" s="28" t="str">
        <f>IF(OR(E48="Укоротить",E48=0),"Нет номера",A48&amp;IF(ISBLANK(I48),"",$K$3&amp;I48)&amp;$K$3&amp;C48&amp;$K$3&amp;E48&amp;IF(ISBLANK(H48),"",$K$3&amp;H48&amp;"pfx")&amp;"@")</f>
        <v>Бразилия/Miatel/Pool_B@</v>
      </c>
      <c r="L48" s="26" t="s">
        <v>430</v>
      </c>
    </row>
    <row r="49" spans="1:12" s="4" customFormat="1" ht="30" hidden="1" customHeight="1" x14ac:dyDescent="0.25">
      <c r="A49" s="3" t="s">
        <v>168</v>
      </c>
      <c r="B49" s="4" t="s">
        <v>120</v>
      </c>
      <c r="C49" s="4" t="s">
        <v>7</v>
      </c>
      <c r="D49" s="6" t="s">
        <v>45</v>
      </c>
      <c r="E49" s="4" t="str">
        <f t="shared" si="4"/>
        <v>RND</v>
      </c>
      <c r="F49" s="4" t="s">
        <v>51</v>
      </c>
      <c r="G49" s="4" t="s">
        <v>46</v>
      </c>
      <c r="H49" s="6" t="s">
        <v>16</v>
      </c>
      <c r="I49" s="6"/>
      <c r="J49" s="4" t="s">
        <v>88</v>
      </c>
      <c r="K49" s="9" t="str">
        <f t="shared" ref="K49:K76" si="5">IF(OR(E49="Укоротить",E49=0),"Нет номера",A49&amp;IF(ISBLANK(I49),"",$K$3&amp;I49)&amp;$K$3&amp;C49&amp;$K$3&amp;E49&amp;IF(ISBLANK(H49),"",$K$3&amp;H49&amp;"pfx")&amp;"@")</f>
        <v>Бразилия/Sancom/RND/0827pfx@</v>
      </c>
    </row>
    <row r="50" spans="1:12" s="4" customFormat="1" ht="30" hidden="1" customHeight="1" x14ac:dyDescent="0.25">
      <c r="A50" s="3" t="s">
        <v>168</v>
      </c>
      <c r="B50" s="4" t="s">
        <v>120</v>
      </c>
      <c r="C50" s="4" t="s">
        <v>352</v>
      </c>
      <c r="D50" s="6" t="s">
        <v>45</v>
      </c>
      <c r="E50" s="4" t="str">
        <f t="shared" ref="E50" si="6">IF(D50="Random","RND",IF(LEN(D50)&gt;15,"Укоротить",IF(D50="Сим-карты","SIM",D50)))</f>
        <v>RND</v>
      </c>
      <c r="F50" s="4" t="s">
        <v>51</v>
      </c>
      <c r="G50" s="4" t="s">
        <v>46</v>
      </c>
      <c r="H50" s="6" t="s">
        <v>412</v>
      </c>
      <c r="I50" s="6"/>
      <c r="J50" s="4" t="s">
        <v>88</v>
      </c>
      <c r="K50" s="9" t="str">
        <f t="shared" ref="K50" si="7">IF(OR(E50="Укоротить",E50=0),"Нет номера",A50&amp;IF(ISBLANK(I50),"",$K$3&amp;I50)&amp;$K$3&amp;C50&amp;$K$3&amp;E50&amp;IF(ISBLANK(H50),"",$K$3&amp;H50&amp;"pfx")&amp;"@")</f>
        <v>Бразилия/Rocketcalls/RND/020pfx@</v>
      </c>
      <c r="L50" s="26"/>
    </row>
    <row r="51" spans="1:12" s="4" customFormat="1" ht="30" hidden="1" customHeight="1" x14ac:dyDescent="0.25">
      <c r="A51" s="3" t="s">
        <v>168</v>
      </c>
      <c r="B51" s="4" t="s">
        <v>120</v>
      </c>
      <c r="C51" s="4" t="s">
        <v>8</v>
      </c>
      <c r="D51" s="6" t="s">
        <v>45</v>
      </c>
      <c r="E51" s="4" t="str">
        <f t="shared" si="4"/>
        <v>RND</v>
      </c>
      <c r="F51" s="4" t="s">
        <v>51</v>
      </c>
      <c r="G51" s="4" t="s">
        <v>46</v>
      </c>
      <c r="H51" s="6"/>
      <c r="I51" s="6"/>
      <c r="J51" s="4" t="s">
        <v>88</v>
      </c>
      <c r="K51" s="9" t="str">
        <f t="shared" si="5"/>
        <v>Бразилия/Zorra/RND@</v>
      </c>
    </row>
    <row r="52" spans="1:12" s="4" customFormat="1" ht="30" hidden="1" customHeight="1" x14ac:dyDescent="0.25">
      <c r="A52" s="25" t="s">
        <v>237</v>
      </c>
      <c r="B52" s="22" t="s">
        <v>120</v>
      </c>
      <c r="C52" s="22" t="s">
        <v>9</v>
      </c>
      <c r="D52" s="23" t="s">
        <v>311</v>
      </c>
      <c r="E52" s="22" t="str">
        <f t="shared" si="4"/>
        <v>442039616510</v>
      </c>
      <c r="F52" s="22" t="s">
        <v>312</v>
      </c>
      <c r="G52" s="22" t="s">
        <v>46</v>
      </c>
      <c r="H52" s="23"/>
      <c r="I52" s="23"/>
      <c r="J52" s="22"/>
      <c r="K52" s="24" t="str">
        <f t="shared" si="5"/>
        <v>Великобритания/Miatel/442039616510@</v>
      </c>
      <c r="L52" s="22" t="s">
        <v>306</v>
      </c>
    </row>
    <row r="53" spans="1:12" s="4" customFormat="1" ht="30" hidden="1" customHeight="1" x14ac:dyDescent="0.25">
      <c r="A53" s="3" t="s">
        <v>237</v>
      </c>
      <c r="B53" s="4" t="s">
        <v>120</v>
      </c>
      <c r="C53" s="4" t="s">
        <v>7</v>
      </c>
      <c r="D53" s="6" t="s">
        <v>45</v>
      </c>
      <c r="E53" s="4" t="str">
        <f t="shared" si="4"/>
        <v>RND</v>
      </c>
      <c r="F53" s="4" t="s">
        <v>51</v>
      </c>
      <c r="G53" s="4" t="s">
        <v>46</v>
      </c>
      <c r="H53" s="6" t="s">
        <v>16</v>
      </c>
      <c r="I53" s="6"/>
      <c r="J53" s="4" t="s">
        <v>88</v>
      </c>
      <c r="K53" s="9" t="str">
        <f t="shared" si="5"/>
        <v>Великобритания/Sancom/RND/0827pfx@</v>
      </c>
      <c r="L53" s="4" t="s">
        <v>307</v>
      </c>
    </row>
    <row r="54" spans="1:12" s="4" customFormat="1" ht="30" hidden="1" customHeight="1" x14ac:dyDescent="0.25">
      <c r="A54" s="3" t="s">
        <v>237</v>
      </c>
      <c r="B54" s="4" t="s">
        <v>120</v>
      </c>
      <c r="C54" s="4" t="s">
        <v>7</v>
      </c>
      <c r="D54" s="6" t="s">
        <v>45</v>
      </c>
      <c r="E54" s="4" t="str">
        <f t="shared" si="4"/>
        <v>RND</v>
      </c>
      <c r="F54" s="4" t="s">
        <v>51</v>
      </c>
      <c r="G54" s="4" t="s">
        <v>46</v>
      </c>
      <c r="H54" s="6" t="s">
        <v>12</v>
      </c>
      <c r="I54" s="6"/>
      <c r="J54" s="4" t="s">
        <v>88</v>
      </c>
      <c r="K54" s="9" t="str">
        <f t="shared" si="5"/>
        <v>Великобритания/Sancom/RND/0789pfx@</v>
      </c>
      <c r="L54" s="4" t="s">
        <v>308</v>
      </c>
    </row>
    <row r="55" spans="1:12" s="4" customFormat="1" ht="30" hidden="1" customHeight="1" x14ac:dyDescent="0.25">
      <c r="A55" s="3" t="s">
        <v>237</v>
      </c>
      <c r="B55" s="4" t="s">
        <v>120</v>
      </c>
      <c r="C55" s="4" t="s">
        <v>8</v>
      </c>
      <c r="D55" s="6" t="s">
        <v>45</v>
      </c>
      <c r="E55" s="4" t="str">
        <f t="shared" si="4"/>
        <v>RND</v>
      </c>
      <c r="F55" s="4" t="s">
        <v>51</v>
      </c>
      <c r="G55" s="4" t="s">
        <v>46</v>
      </c>
      <c r="H55" s="6"/>
      <c r="I55" s="6"/>
      <c r="J55" s="4" t="s">
        <v>310</v>
      </c>
      <c r="K55" s="9" t="str">
        <f t="shared" si="5"/>
        <v>Великобритания/Zorra/RND@</v>
      </c>
      <c r="L55" s="4" t="s">
        <v>309</v>
      </c>
    </row>
    <row r="56" spans="1:12" s="4" customFormat="1" ht="30" hidden="1" customHeight="1" x14ac:dyDescent="0.25">
      <c r="A56" s="3" t="s">
        <v>20</v>
      </c>
      <c r="B56" s="4" t="s">
        <v>120</v>
      </c>
      <c r="C56" s="4" t="s">
        <v>9</v>
      </c>
      <c r="D56" s="6" t="s">
        <v>45</v>
      </c>
      <c r="E56" s="4" t="str">
        <f t="shared" si="4"/>
        <v>RND</v>
      </c>
      <c r="F56" s="4" t="s">
        <v>51</v>
      </c>
      <c r="G56" s="4" t="s">
        <v>46</v>
      </c>
      <c r="H56" s="6"/>
      <c r="I56" s="6"/>
      <c r="J56" s="4" t="s">
        <v>88</v>
      </c>
      <c r="K56" s="9" t="str">
        <f t="shared" si="5"/>
        <v>Венгрия/Miatel/RND@</v>
      </c>
    </row>
    <row r="57" spans="1:12" s="4" customFormat="1" ht="30" hidden="1" customHeight="1" x14ac:dyDescent="0.25">
      <c r="A57" s="3" t="s">
        <v>20</v>
      </c>
      <c r="B57" s="4" t="s">
        <v>120</v>
      </c>
      <c r="C57" s="4" t="s">
        <v>7</v>
      </c>
      <c r="D57" s="6" t="s">
        <v>45</v>
      </c>
      <c r="E57" s="4" t="str">
        <f t="shared" si="4"/>
        <v>RND</v>
      </c>
      <c r="F57" s="4" t="s">
        <v>51</v>
      </c>
      <c r="G57" s="4" t="s">
        <v>46</v>
      </c>
      <c r="H57" s="6" t="s">
        <v>12</v>
      </c>
      <c r="I57" s="6"/>
      <c r="J57" s="4" t="s">
        <v>88</v>
      </c>
      <c r="K57" s="9" t="str">
        <f t="shared" si="5"/>
        <v>Венгрия/Sancom/RND/0789pfx@</v>
      </c>
    </row>
    <row r="58" spans="1:12" s="4" customFormat="1" ht="30" hidden="1" customHeight="1" x14ac:dyDescent="0.25">
      <c r="A58" s="3" t="s">
        <v>20</v>
      </c>
      <c r="B58" s="4" t="s">
        <v>120</v>
      </c>
      <c r="C58" s="4" t="s">
        <v>7</v>
      </c>
      <c r="D58" s="6" t="s">
        <v>45</v>
      </c>
      <c r="E58" s="4" t="str">
        <f t="shared" si="4"/>
        <v>RND</v>
      </c>
      <c r="F58" s="4" t="s">
        <v>51</v>
      </c>
      <c r="G58" s="4" t="s">
        <v>46</v>
      </c>
      <c r="H58" s="6" t="s">
        <v>16</v>
      </c>
      <c r="I58" s="6"/>
      <c r="J58" s="4" t="s">
        <v>88</v>
      </c>
      <c r="K58" s="9" t="str">
        <f t="shared" si="5"/>
        <v>Венгрия/Sancom/RND/0827pfx@</v>
      </c>
    </row>
    <row r="59" spans="1:12" s="4" customFormat="1" ht="30" hidden="1" customHeight="1" x14ac:dyDescent="0.25">
      <c r="A59" s="3" t="s">
        <v>20</v>
      </c>
      <c r="B59" s="4" t="s">
        <v>120</v>
      </c>
      <c r="C59" s="4" t="s">
        <v>368</v>
      </c>
      <c r="D59" s="6" t="s">
        <v>45</v>
      </c>
      <c r="E59" s="27" t="str">
        <f>IF(D59="Random","RND",IF(LEN(D59)&gt;15,"Укоротить",IF(D59="Сим-карты","SIM",D59)))</f>
        <v>RND</v>
      </c>
      <c r="F59" s="4" t="s">
        <v>51</v>
      </c>
      <c r="G59" s="4" t="s">
        <v>46</v>
      </c>
      <c r="H59" s="6" t="s">
        <v>392</v>
      </c>
      <c r="I59" s="6"/>
      <c r="J59" s="4" t="s">
        <v>88</v>
      </c>
      <c r="K59" s="28" t="str">
        <f>IF(OR(E59="Укоротить",E59=0),"Нет номера",A59&amp;IF(ISBLANK(I59),"",$K$3&amp;I59)&amp;$K$3&amp;C59&amp;$K$3&amp;E59&amp;IF(ISBLANK(H59),"",$K$3&amp;H59&amp;"pfx")&amp;"@")</f>
        <v>Венгрия/AOneVoip/RND/01994pfx@</v>
      </c>
      <c r="L59" s="26"/>
    </row>
    <row r="60" spans="1:12" s="4" customFormat="1" ht="30" hidden="1" customHeight="1" x14ac:dyDescent="0.25">
      <c r="A60" s="3" t="s">
        <v>20</v>
      </c>
      <c r="B60" s="4" t="s">
        <v>120</v>
      </c>
      <c r="C60" s="4" t="s">
        <v>94</v>
      </c>
      <c r="D60" s="6" t="s">
        <v>45</v>
      </c>
      <c r="E60" s="4" t="str">
        <f t="shared" si="4"/>
        <v>RND</v>
      </c>
      <c r="F60" s="4" t="s">
        <v>51</v>
      </c>
      <c r="G60" s="4" t="s">
        <v>46</v>
      </c>
      <c r="H60" s="6"/>
      <c r="I60" s="6"/>
      <c r="J60" s="4" t="s">
        <v>88</v>
      </c>
      <c r="K60" s="9" t="str">
        <f t="shared" si="5"/>
        <v>Венгрия/Voxbird/RND@</v>
      </c>
    </row>
    <row r="61" spans="1:12" s="4" customFormat="1" ht="30" hidden="1" customHeight="1" x14ac:dyDescent="0.25">
      <c r="A61" s="3" t="s">
        <v>20</v>
      </c>
      <c r="B61" s="4" t="s">
        <v>120</v>
      </c>
      <c r="C61" s="4" t="s">
        <v>8</v>
      </c>
      <c r="D61" s="6" t="s">
        <v>45</v>
      </c>
      <c r="E61" s="4" t="str">
        <f t="shared" si="4"/>
        <v>RND</v>
      </c>
      <c r="F61" s="4" t="s">
        <v>51</v>
      </c>
      <c r="G61" s="4" t="s">
        <v>46</v>
      </c>
      <c r="H61" s="6"/>
      <c r="I61" s="6"/>
      <c r="J61" s="4" t="s">
        <v>88</v>
      </c>
      <c r="K61" s="9" t="str">
        <f t="shared" si="5"/>
        <v>Венгрия/Zorra/RND@</v>
      </c>
    </row>
    <row r="62" spans="1:12" s="4" customFormat="1" ht="30" hidden="1" customHeight="1" x14ac:dyDescent="0.25">
      <c r="A62" s="3" t="s">
        <v>20</v>
      </c>
      <c r="B62" s="4" t="s">
        <v>120</v>
      </c>
      <c r="C62" s="4" t="s">
        <v>9</v>
      </c>
      <c r="D62" s="6" t="s">
        <v>332</v>
      </c>
      <c r="E62" s="4" t="s">
        <v>81</v>
      </c>
      <c r="F62" s="4" t="s">
        <v>333</v>
      </c>
      <c r="G62" s="4" t="s">
        <v>48</v>
      </c>
      <c r="H62" s="6"/>
      <c r="I62" s="6"/>
      <c r="J62" s="4" t="s">
        <v>88</v>
      </c>
      <c r="K62" s="9" t="str">
        <f t="shared" si="5"/>
        <v>Венгрия/Miatel/Pool_A@</v>
      </c>
      <c r="L62" s="4" t="s">
        <v>287</v>
      </c>
    </row>
    <row r="63" spans="1:12" s="4" customFormat="1" ht="30" hidden="1" customHeight="1" x14ac:dyDescent="0.25">
      <c r="A63" s="3" t="s">
        <v>20</v>
      </c>
      <c r="B63" s="4" t="s">
        <v>120</v>
      </c>
      <c r="C63" s="4" t="s">
        <v>7</v>
      </c>
      <c r="D63" s="6" t="s">
        <v>332</v>
      </c>
      <c r="E63" s="4" t="s">
        <v>81</v>
      </c>
      <c r="F63" s="4" t="s">
        <v>333</v>
      </c>
      <c r="G63" s="4" t="s">
        <v>48</v>
      </c>
      <c r="H63" s="6" t="s">
        <v>12</v>
      </c>
      <c r="I63" s="6"/>
      <c r="J63" s="4" t="s">
        <v>88</v>
      </c>
      <c r="K63" s="9" t="str">
        <f t="shared" si="5"/>
        <v>Венгрия/Sancom/Pool_A/0789pfx@</v>
      </c>
      <c r="L63" s="4" t="s">
        <v>288</v>
      </c>
    </row>
    <row r="64" spans="1:12" s="4" customFormat="1" ht="30" hidden="1" customHeight="1" x14ac:dyDescent="0.25">
      <c r="A64" s="3" t="s">
        <v>20</v>
      </c>
      <c r="B64" s="4" t="s">
        <v>120</v>
      </c>
      <c r="C64" s="4" t="s">
        <v>7</v>
      </c>
      <c r="D64" s="6" t="s">
        <v>332</v>
      </c>
      <c r="E64" s="4" t="s">
        <v>81</v>
      </c>
      <c r="F64" s="4" t="s">
        <v>333</v>
      </c>
      <c r="G64" s="4" t="s">
        <v>48</v>
      </c>
      <c r="H64" s="6" t="s">
        <v>16</v>
      </c>
      <c r="I64" s="6"/>
      <c r="J64" s="4" t="s">
        <v>88</v>
      </c>
      <c r="K64" s="9" t="str">
        <f t="shared" si="5"/>
        <v>Венгрия/Sancom/Pool_A/0827pfx@</v>
      </c>
      <c r="L64" s="4" t="s">
        <v>289</v>
      </c>
    </row>
    <row r="65" spans="1:12" s="4" customFormat="1" ht="30" hidden="1" customHeight="1" x14ac:dyDescent="0.25">
      <c r="A65" s="3" t="s">
        <v>20</v>
      </c>
      <c r="B65" s="4" t="s">
        <v>120</v>
      </c>
      <c r="C65" s="4" t="s">
        <v>8</v>
      </c>
      <c r="D65" s="6" t="s">
        <v>332</v>
      </c>
      <c r="E65" s="4" t="s">
        <v>81</v>
      </c>
      <c r="F65" s="4" t="s">
        <v>333</v>
      </c>
      <c r="G65" s="4" t="s">
        <v>48</v>
      </c>
      <c r="H65" s="6"/>
      <c r="I65" s="6"/>
      <c r="J65" s="4" t="s">
        <v>88</v>
      </c>
      <c r="K65" s="9" t="str">
        <f t="shared" si="5"/>
        <v>Венгрия/Zorra/Pool_A@</v>
      </c>
      <c r="L65" s="4" t="s">
        <v>290</v>
      </c>
    </row>
    <row r="66" spans="1:12" s="4" customFormat="1" ht="30" hidden="1" customHeight="1" x14ac:dyDescent="0.25">
      <c r="A66" s="3" t="s">
        <v>329</v>
      </c>
      <c r="B66" s="4" t="s">
        <v>120</v>
      </c>
      <c r="C66" s="4" t="s">
        <v>9</v>
      </c>
      <c r="D66" s="6" t="s">
        <v>45</v>
      </c>
      <c r="E66" s="4" t="str">
        <f t="shared" ref="E66:E76" si="8">IF(D66="Random","RND",IF(LEN(D66)&gt;15,"Укоротить",IF(D66="Сим-карты","SIM",D66)))</f>
        <v>RND</v>
      </c>
      <c r="F66" s="4" t="s">
        <v>51</v>
      </c>
      <c r="G66" s="4" t="s">
        <v>46</v>
      </c>
      <c r="H66" s="6"/>
      <c r="I66" s="6"/>
      <c r="J66" s="4" t="s">
        <v>330</v>
      </c>
      <c r="K66" s="9" t="str">
        <f t="shared" si="5"/>
        <v>Венесуэла/Miatel/RND@</v>
      </c>
    </row>
    <row r="67" spans="1:12" s="4" customFormat="1" ht="30" hidden="1" customHeight="1" x14ac:dyDescent="0.25">
      <c r="A67" s="3" t="s">
        <v>329</v>
      </c>
      <c r="B67" s="4" t="s">
        <v>120</v>
      </c>
      <c r="C67" s="4" t="s">
        <v>7</v>
      </c>
      <c r="D67" s="6" t="s">
        <v>45</v>
      </c>
      <c r="E67" s="4" t="str">
        <f t="shared" si="8"/>
        <v>RND</v>
      </c>
      <c r="F67" s="4" t="s">
        <v>51</v>
      </c>
      <c r="G67" s="4" t="s">
        <v>46</v>
      </c>
      <c r="H67" s="6" t="s">
        <v>12</v>
      </c>
      <c r="I67" s="6"/>
      <c r="J67" s="4" t="s">
        <v>330</v>
      </c>
      <c r="K67" s="9" t="str">
        <f t="shared" si="5"/>
        <v>Венесуэла/Sancom/RND/0789pfx@</v>
      </c>
    </row>
    <row r="68" spans="1:12" s="4" customFormat="1" ht="30" hidden="1" customHeight="1" x14ac:dyDescent="0.25">
      <c r="A68" s="3" t="s">
        <v>329</v>
      </c>
      <c r="B68" s="4" t="s">
        <v>120</v>
      </c>
      <c r="C68" s="4" t="s">
        <v>8</v>
      </c>
      <c r="D68" s="6" t="s">
        <v>45</v>
      </c>
      <c r="E68" s="4" t="str">
        <f t="shared" si="8"/>
        <v>RND</v>
      </c>
      <c r="F68" s="4" t="s">
        <v>51</v>
      </c>
      <c r="G68" s="4" t="s">
        <v>46</v>
      </c>
      <c r="H68" s="6"/>
      <c r="I68" s="6"/>
      <c r="J68" s="4" t="s">
        <v>330</v>
      </c>
      <c r="K68" s="9" t="str">
        <f t="shared" si="5"/>
        <v>Венесуэла/Zorra/RND@</v>
      </c>
    </row>
    <row r="69" spans="1:12" s="4" customFormat="1" ht="30" hidden="1" customHeight="1" x14ac:dyDescent="0.25">
      <c r="A69" s="3" t="s">
        <v>172</v>
      </c>
      <c r="B69" s="4" t="s">
        <v>120</v>
      </c>
      <c r="C69" s="4" t="s">
        <v>9</v>
      </c>
      <c r="D69" s="6" t="s">
        <v>45</v>
      </c>
      <c r="E69" s="4" t="str">
        <f t="shared" si="8"/>
        <v>RND</v>
      </c>
      <c r="F69" s="4" t="s">
        <v>51</v>
      </c>
      <c r="G69" s="4" t="s">
        <v>46</v>
      </c>
      <c r="H69" s="6"/>
      <c r="I69" s="6"/>
      <c r="J69" s="4" t="s">
        <v>88</v>
      </c>
      <c r="K69" s="9" t="str">
        <f t="shared" si="5"/>
        <v>Гана/Miatel/RND@</v>
      </c>
    </row>
    <row r="70" spans="1:12" s="4" customFormat="1" ht="30" hidden="1" customHeight="1" x14ac:dyDescent="0.25">
      <c r="A70" s="3" t="s">
        <v>172</v>
      </c>
      <c r="B70" s="4" t="s">
        <v>120</v>
      </c>
      <c r="C70" s="4" t="s">
        <v>7</v>
      </c>
      <c r="D70" s="6" t="s">
        <v>45</v>
      </c>
      <c r="E70" s="4" t="str">
        <f t="shared" si="8"/>
        <v>RND</v>
      </c>
      <c r="F70" s="4" t="s">
        <v>51</v>
      </c>
      <c r="G70" s="4" t="s">
        <v>46</v>
      </c>
      <c r="H70" s="6" t="s">
        <v>16</v>
      </c>
      <c r="I70" s="6"/>
      <c r="J70" s="4" t="s">
        <v>88</v>
      </c>
      <c r="K70" s="9" t="str">
        <f t="shared" si="5"/>
        <v>Гана/Sancom/RND/0827pfx@</v>
      </c>
    </row>
    <row r="71" spans="1:12" s="4" customFormat="1" ht="30" hidden="1" customHeight="1" x14ac:dyDescent="0.25">
      <c r="A71" s="3" t="s">
        <v>172</v>
      </c>
      <c r="B71" s="4" t="s">
        <v>120</v>
      </c>
      <c r="C71" s="4" t="s">
        <v>8</v>
      </c>
      <c r="D71" s="6" t="s">
        <v>45</v>
      </c>
      <c r="E71" s="4" t="str">
        <f t="shared" si="8"/>
        <v>RND</v>
      </c>
      <c r="F71" s="4" t="s">
        <v>51</v>
      </c>
      <c r="G71" s="4" t="s">
        <v>46</v>
      </c>
      <c r="H71" s="6"/>
      <c r="I71" s="6"/>
      <c r="J71" s="4" t="s">
        <v>88</v>
      </c>
      <c r="K71" s="9" t="str">
        <f t="shared" si="5"/>
        <v>Гана/Zorra/RND@</v>
      </c>
    </row>
    <row r="72" spans="1:12" s="4" customFormat="1" ht="30" hidden="1" customHeight="1" x14ac:dyDescent="0.25">
      <c r="A72" s="3" t="s">
        <v>160</v>
      </c>
      <c r="B72" s="4" t="s">
        <v>120</v>
      </c>
      <c r="C72" s="4" t="s">
        <v>9</v>
      </c>
      <c r="D72" s="6" t="s">
        <v>45</v>
      </c>
      <c r="E72" s="4" t="str">
        <f t="shared" si="8"/>
        <v>RND</v>
      </c>
      <c r="F72" s="4" t="s">
        <v>51</v>
      </c>
      <c r="G72" s="4" t="s">
        <v>46</v>
      </c>
      <c r="H72" s="6"/>
      <c r="I72" s="6"/>
      <c r="J72" s="4" t="s">
        <v>88</v>
      </c>
      <c r="K72" s="9" t="str">
        <f t="shared" si="5"/>
        <v>Гватемала/Miatel/RND@</v>
      </c>
    </row>
    <row r="73" spans="1:12" s="4" customFormat="1" ht="30" hidden="1" customHeight="1" x14ac:dyDescent="0.25">
      <c r="A73" s="3" t="s">
        <v>160</v>
      </c>
      <c r="B73" s="4" t="s">
        <v>120</v>
      </c>
      <c r="C73" s="4" t="s">
        <v>7</v>
      </c>
      <c r="D73" s="6" t="s">
        <v>45</v>
      </c>
      <c r="E73" s="4" t="str">
        <f t="shared" si="8"/>
        <v>RND</v>
      </c>
      <c r="F73" s="4" t="s">
        <v>51</v>
      </c>
      <c r="G73" s="4" t="s">
        <v>46</v>
      </c>
      <c r="H73" s="6" t="s">
        <v>12</v>
      </c>
      <c r="I73" s="6"/>
      <c r="J73" s="4" t="s">
        <v>88</v>
      </c>
      <c r="K73" s="9" t="str">
        <f t="shared" si="5"/>
        <v>Гватемала/Sancom/RND/0789pfx@</v>
      </c>
    </row>
    <row r="74" spans="1:12" s="4" customFormat="1" ht="30" hidden="1" customHeight="1" x14ac:dyDescent="0.25">
      <c r="A74" s="3" t="s">
        <v>160</v>
      </c>
      <c r="B74" s="4" t="s">
        <v>120</v>
      </c>
      <c r="C74" s="4" t="s">
        <v>8</v>
      </c>
      <c r="D74" s="6" t="s">
        <v>45</v>
      </c>
      <c r="E74" s="4" t="str">
        <f t="shared" si="8"/>
        <v>RND</v>
      </c>
      <c r="F74" s="4" t="s">
        <v>51</v>
      </c>
      <c r="G74" s="4" t="s">
        <v>46</v>
      </c>
      <c r="H74" s="6"/>
      <c r="I74" s="6"/>
      <c r="J74" s="4" t="s">
        <v>88</v>
      </c>
      <c r="K74" s="9" t="str">
        <f t="shared" si="5"/>
        <v>Гватемала/Zorra/RND@</v>
      </c>
    </row>
    <row r="75" spans="1:12" s="4" customFormat="1" ht="30" hidden="1" customHeight="1" x14ac:dyDescent="0.25">
      <c r="A75" s="3" t="s">
        <v>160</v>
      </c>
      <c r="B75" s="4" t="s">
        <v>120</v>
      </c>
      <c r="C75" s="4" t="s">
        <v>256</v>
      </c>
      <c r="D75" s="6" t="s">
        <v>145</v>
      </c>
      <c r="E75" s="4" t="str">
        <f t="shared" si="8"/>
        <v>SIM</v>
      </c>
      <c r="G75" s="4" t="s">
        <v>46</v>
      </c>
      <c r="H75" s="6"/>
      <c r="I75" s="6"/>
      <c r="K75" s="9" t="str">
        <f t="shared" si="5"/>
        <v>Гватемала/Шлюз1/SIM@</v>
      </c>
    </row>
    <row r="76" spans="1:12" s="4" customFormat="1" ht="30" hidden="1" customHeight="1" x14ac:dyDescent="0.25">
      <c r="A76" s="3" t="s">
        <v>160</v>
      </c>
      <c r="B76" s="4" t="s">
        <v>120</v>
      </c>
      <c r="C76" s="4" t="s">
        <v>257</v>
      </c>
      <c r="D76" s="6" t="s">
        <v>145</v>
      </c>
      <c r="E76" s="4" t="str">
        <f t="shared" si="8"/>
        <v>SIM</v>
      </c>
      <c r="G76" s="4" t="s">
        <v>46</v>
      </c>
      <c r="H76" s="6"/>
      <c r="I76" s="6"/>
      <c r="K76" s="9" t="str">
        <f t="shared" si="5"/>
        <v>Гватемала/Шлюз2/SIM@</v>
      </c>
    </row>
    <row r="77" spans="1:12" s="4" customFormat="1" ht="30" hidden="1" customHeight="1" x14ac:dyDescent="0.25">
      <c r="A77" s="3" t="s">
        <v>21</v>
      </c>
      <c r="B77" s="4" t="s">
        <v>120</v>
      </c>
      <c r="C77" s="4" t="s">
        <v>9</v>
      </c>
      <c r="D77" s="6" t="s">
        <v>45</v>
      </c>
      <c r="E77" s="4" t="str">
        <f>IF(D77="Random","RND",IF(LEN(D77)&gt;15,"Укоротить",IF(D77="Сим-карты","SIM",D77)))</f>
        <v>RND</v>
      </c>
      <c r="F77" s="4" t="s">
        <v>51</v>
      </c>
      <c r="G77" s="4" t="s">
        <v>46</v>
      </c>
      <c r="H77" s="6"/>
      <c r="I77" s="6"/>
      <c r="J77" s="4" t="s">
        <v>113</v>
      </c>
      <c r="K77" s="9" t="str">
        <f t="shared" ref="K77:K109" si="9">IF(OR(E77="Укоротить",E77=0),"Нет номера",A77&amp;IF(ISBLANK(I77),"",$K$3&amp;I77)&amp;$K$3&amp;C77&amp;$K$3&amp;E77&amp;IF(ISBLANK(H77),"",$K$3&amp;H77&amp;"pfx")&amp;"@")</f>
        <v>Германия/Miatel/RND@</v>
      </c>
    </row>
    <row r="78" spans="1:12" s="4" customFormat="1" ht="30" hidden="1" customHeight="1" x14ac:dyDescent="0.25">
      <c r="A78" s="3" t="s">
        <v>21</v>
      </c>
      <c r="B78" s="4" t="s">
        <v>120</v>
      </c>
      <c r="C78" s="4" t="s">
        <v>9</v>
      </c>
      <c r="D78" s="6" t="s">
        <v>337</v>
      </c>
      <c r="E78" s="4" t="s">
        <v>115</v>
      </c>
      <c r="F78" s="4" t="s">
        <v>338</v>
      </c>
      <c r="G78" s="4" t="s">
        <v>46</v>
      </c>
      <c r="H78" s="6" t="s">
        <v>158</v>
      </c>
      <c r="I78" s="6"/>
      <c r="K78" s="9" t="str">
        <f t="shared" si="9"/>
        <v>Германия/Miatel/Pool_D/0333pfx@</v>
      </c>
      <c r="L78" s="4" t="s">
        <v>294</v>
      </c>
    </row>
    <row r="79" spans="1:12" s="4" customFormat="1" ht="30" hidden="1" customHeight="1" x14ac:dyDescent="0.25">
      <c r="A79" s="3" t="s">
        <v>21</v>
      </c>
      <c r="B79" s="4" t="s">
        <v>120</v>
      </c>
      <c r="C79" s="4" t="s">
        <v>9</v>
      </c>
      <c r="D79" s="6" t="s">
        <v>296</v>
      </c>
      <c r="E79" s="4" t="str">
        <f t="shared" ref="E79:E85" si="10">IF(D79="Random","RND",IF(LEN(D79)&gt;15,"Укоротить",IF(D79="Сим-карты","SIM",D79)))</f>
        <v>4915510068154</v>
      </c>
      <c r="F79" s="4" t="s">
        <v>51</v>
      </c>
      <c r="G79" s="4" t="s">
        <v>46</v>
      </c>
      <c r="H79" s="6"/>
      <c r="I79" s="6"/>
      <c r="K79" s="9" t="str">
        <f t="shared" si="9"/>
        <v>Германия/Miatel/4915510068154@</v>
      </c>
      <c r="L79" s="4" t="s">
        <v>292</v>
      </c>
    </row>
    <row r="80" spans="1:12" s="4" customFormat="1" ht="30" hidden="1" customHeight="1" x14ac:dyDescent="0.25">
      <c r="A80" s="3" t="s">
        <v>21</v>
      </c>
      <c r="B80" s="4" t="s">
        <v>120</v>
      </c>
      <c r="C80" s="4" t="s">
        <v>7</v>
      </c>
      <c r="D80" s="6" t="s">
        <v>45</v>
      </c>
      <c r="E80" s="4" t="str">
        <f t="shared" si="10"/>
        <v>RND</v>
      </c>
      <c r="F80" s="4" t="s">
        <v>51</v>
      </c>
      <c r="G80" s="4" t="s">
        <v>46</v>
      </c>
      <c r="H80" s="6" t="s">
        <v>12</v>
      </c>
      <c r="I80" s="6"/>
      <c r="J80" s="4" t="s">
        <v>88</v>
      </c>
      <c r="K80" s="9" t="str">
        <f t="shared" si="9"/>
        <v>Германия/Sancom/RND/0789pfx@</v>
      </c>
    </row>
    <row r="81" spans="1:12" s="4" customFormat="1" ht="30" hidden="1" customHeight="1" x14ac:dyDescent="0.25">
      <c r="A81" s="3" t="s">
        <v>21</v>
      </c>
      <c r="B81" s="4" t="s">
        <v>120</v>
      </c>
      <c r="C81" s="4" t="s">
        <v>7</v>
      </c>
      <c r="D81" s="6" t="s">
        <v>45</v>
      </c>
      <c r="E81" s="4" t="str">
        <f t="shared" si="10"/>
        <v>RND</v>
      </c>
      <c r="F81" s="4" t="s">
        <v>51</v>
      </c>
      <c r="G81" s="4" t="s">
        <v>46</v>
      </c>
      <c r="H81" s="6" t="s">
        <v>13</v>
      </c>
      <c r="I81" s="6"/>
      <c r="J81" s="4" t="s">
        <v>339</v>
      </c>
      <c r="K81" s="9" t="str">
        <f t="shared" si="9"/>
        <v>Германия/Sancom/RND/0792pfx@</v>
      </c>
    </row>
    <row r="82" spans="1:12" s="4" customFormat="1" ht="30" hidden="1" customHeight="1" x14ac:dyDescent="0.25">
      <c r="A82" s="3" t="s">
        <v>21</v>
      </c>
      <c r="B82" s="4" t="s">
        <v>120</v>
      </c>
      <c r="C82" s="4" t="s">
        <v>7</v>
      </c>
      <c r="D82" s="6" t="s">
        <v>45</v>
      </c>
      <c r="E82" s="4" t="str">
        <f t="shared" si="10"/>
        <v>RND</v>
      </c>
      <c r="F82" s="4" t="s">
        <v>51</v>
      </c>
      <c r="G82" s="4" t="s">
        <v>46</v>
      </c>
      <c r="H82" s="6" t="s">
        <v>16</v>
      </c>
      <c r="I82" s="6"/>
      <c r="J82" s="4" t="s">
        <v>339</v>
      </c>
      <c r="K82" s="9" t="str">
        <f t="shared" si="9"/>
        <v>Германия/Sancom/RND/0827pfx@</v>
      </c>
    </row>
    <row r="83" spans="1:12" ht="30" hidden="1" customHeight="1" x14ac:dyDescent="0.25">
      <c r="A83" s="3" t="s">
        <v>21</v>
      </c>
      <c r="B83" s="4" t="s">
        <v>120</v>
      </c>
      <c r="C83" s="4" t="s">
        <v>7</v>
      </c>
      <c r="D83" s="6" t="s">
        <v>297</v>
      </c>
      <c r="E83" s="4" t="str">
        <f t="shared" si="10"/>
        <v>4369010256244</v>
      </c>
      <c r="F83" s="4" t="s">
        <v>51</v>
      </c>
      <c r="G83" s="4" t="s">
        <v>46</v>
      </c>
      <c r="H83" s="6" t="s">
        <v>16</v>
      </c>
      <c r="I83" s="6"/>
      <c r="J83" s="4"/>
      <c r="K83" s="9" t="str">
        <f t="shared" si="9"/>
        <v>Германия/Sancom/4369010256244/0827pfx@</v>
      </c>
      <c r="L83" s="4" t="s">
        <v>292</v>
      </c>
    </row>
    <row r="84" spans="1:12" ht="30" hidden="1" customHeight="1" x14ac:dyDescent="0.25">
      <c r="A84" s="3" t="s">
        <v>21</v>
      </c>
      <c r="B84" s="4" t="s">
        <v>120</v>
      </c>
      <c r="C84" s="4" t="s">
        <v>8</v>
      </c>
      <c r="D84" s="6" t="s">
        <v>45</v>
      </c>
      <c r="E84" s="4" t="str">
        <f t="shared" si="10"/>
        <v>RND</v>
      </c>
      <c r="F84" s="4" t="s">
        <v>51</v>
      </c>
      <c r="G84" s="4" t="s">
        <v>46</v>
      </c>
      <c r="H84" s="6"/>
      <c r="I84" s="6"/>
      <c r="J84" s="4" t="s">
        <v>88</v>
      </c>
      <c r="K84" s="9" t="str">
        <f t="shared" si="9"/>
        <v>Германия/Zorra/RND@</v>
      </c>
      <c r="L84" s="4"/>
    </row>
    <row r="85" spans="1:12" ht="30" hidden="1" customHeight="1" x14ac:dyDescent="0.25">
      <c r="A85" s="3" t="s">
        <v>21</v>
      </c>
      <c r="B85" s="4" t="s">
        <v>120</v>
      </c>
      <c r="C85" s="4" t="s">
        <v>11</v>
      </c>
      <c r="D85" s="6" t="s">
        <v>145</v>
      </c>
      <c r="E85" s="4" t="str">
        <f t="shared" si="10"/>
        <v>SIM</v>
      </c>
      <c r="F85" s="4"/>
      <c r="G85" s="4" t="s">
        <v>46</v>
      </c>
      <c r="H85" s="6"/>
      <c r="I85" s="6"/>
      <c r="J85" s="4"/>
      <c r="K85" s="9" t="str">
        <f t="shared" si="9"/>
        <v>Германия/Шлюз/SIM@</v>
      </c>
      <c r="L85" s="4"/>
    </row>
    <row r="86" spans="1:12" s="4" customFormat="1" ht="30" hidden="1" customHeight="1" x14ac:dyDescent="0.25">
      <c r="A86" s="3" t="s">
        <v>21</v>
      </c>
      <c r="B86" s="4" t="s">
        <v>120</v>
      </c>
      <c r="C86" s="4" t="s">
        <v>10</v>
      </c>
      <c r="D86" s="6" t="s">
        <v>283</v>
      </c>
      <c r="E86" s="4" t="s">
        <v>81</v>
      </c>
      <c r="F86" s="4" t="s">
        <v>284</v>
      </c>
      <c r="G86" s="4" t="s">
        <v>48</v>
      </c>
      <c r="H86" s="6"/>
      <c r="I86" s="6"/>
      <c r="K86" s="9" t="str">
        <f t="shared" si="9"/>
        <v>Германия/Inftele/Pool_A@</v>
      </c>
    </row>
    <row r="87" spans="1:12" s="4" customFormat="1" ht="30" hidden="1" customHeight="1" x14ac:dyDescent="0.25">
      <c r="A87" s="3" t="s">
        <v>21</v>
      </c>
      <c r="B87" s="4" t="s">
        <v>120</v>
      </c>
      <c r="C87" s="4" t="s">
        <v>301</v>
      </c>
      <c r="D87" s="6" t="s">
        <v>302</v>
      </c>
      <c r="E87" s="4" t="s">
        <v>83</v>
      </c>
      <c r="F87" s="4" t="s">
        <v>303</v>
      </c>
      <c r="G87" s="4" t="s">
        <v>46</v>
      </c>
      <c r="H87" s="6"/>
      <c r="I87" s="6"/>
      <c r="K87" s="9" t="str">
        <f t="shared" si="9"/>
        <v>Германия/IXO/Pool_C@</v>
      </c>
    </row>
    <row r="88" spans="1:12" s="4" customFormat="1" ht="30" hidden="1" customHeight="1" x14ac:dyDescent="0.25">
      <c r="A88" s="3" t="s">
        <v>21</v>
      </c>
      <c r="B88" s="4" t="s">
        <v>120</v>
      </c>
      <c r="C88" s="4" t="s">
        <v>280</v>
      </c>
      <c r="D88" s="6" t="s">
        <v>45</v>
      </c>
      <c r="E88" s="4" t="str">
        <f>IF(D88="Random","RND",IF(LEN(D88)&gt;15,"Укоротить",IF(D88="Сим-карты","SIM",D88)))</f>
        <v>RND</v>
      </c>
      <c r="F88" s="4" t="s">
        <v>51</v>
      </c>
      <c r="G88" s="4" t="s">
        <v>46</v>
      </c>
      <c r="H88" s="6"/>
      <c r="I88" s="6"/>
      <c r="J88" s="4" t="s">
        <v>88</v>
      </c>
      <c r="K88" s="9" t="str">
        <f t="shared" si="9"/>
        <v>Германия/UniTalk/RND@</v>
      </c>
    </row>
    <row r="89" spans="1:12" s="4" customFormat="1" ht="30" hidden="1" customHeight="1" x14ac:dyDescent="0.25">
      <c r="A89" s="10" t="s">
        <v>21</v>
      </c>
      <c r="B89" s="11" t="s">
        <v>120</v>
      </c>
      <c r="C89" s="11" t="s">
        <v>9</v>
      </c>
      <c r="D89" s="12" t="s">
        <v>295</v>
      </c>
      <c r="E89" s="11" t="s">
        <v>82</v>
      </c>
      <c r="F89" s="11" t="s">
        <v>51</v>
      </c>
      <c r="G89" s="11" t="s">
        <v>46</v>
      </c>
      <c r="H89" s="12"/>
      <c r="I89" s="12"/>
      <c r="J89" s="11"/>
      <c r="K89" s="13" t="str">
        <f t="shared" si="9"/>
        <v>Германия/Miatel/Pool_B@</v>
      </c>
      <c r="L89" s="11" t="s">
        <v>294</v>
      </c>
    </row>
    <row r="90" spans="1:12" s="4" customFormat="1" ht="30" hidden="1" customHeight="1" x14ac:dyDescent="0.25">
      <c r="A90" s="3" t="s">
        <v>231</v>
      </c>
      <c r="B90" s="4" t="s">
        <v>120</v>
      </c>
      <c r="C90" s="4" t="s">
        <v>9</v>
      </c>
      <c r="D90" s="6" t="s">
        <v>45</v>
      </c>
      <c r="E90" s="4" t="str">
        <f>IF(D90="Random","RND",IF(LEN(D90)&gt;15,"Укоротить",IF(D90="Сим-карты","SIM",D90)))</f>
        <v>RND</v>
      </c>
      <c r="F90" s="4" t="s">
        <v>51</v>
      </c>
      <c r="G90" s="4" t="s">
        <v>46</v>
      </c>
      <c r="H90" s="6"/>
      <c r="I90" s="6"/>
      <c r="J90" s="4" t="s">
        <v>88</v>
      </c>
      <c r="K90" s="9" t="str">
        <f t="shared" si="9"/>
        <v>Гондурас/Miatel/RND@</v>
      </c>
    </row>
    <row r="91" spans="1:12" s="4" customFormat="1" ht="30" hidden="1" customHeight="1" x14ac:dyDescent="0.25">
      <c r="A91" s="3" t="s">
        <v>231</v>
      </c>
      <c r="B91" s="4" t="s">
        <v>120</v>
      </c>
      <c r="C91" s="4" t="s">
        <v>7</v>
      </c>
      <c r="D91" s="6" t="s">
        <v>45</v>
      </c>
      <c r="E91" s="4" t="str">
        <f>IF(D91="Random","RND",IF(LEN(D91)&gt;15,"Укоротить",IF(D91="Сим-карты","SIM",D91)))</f>
        <v>RND</v>
      </c>
      <c r="F91" s="4" t="s">
        <v>51</v>
      </c>
      <c r="G91" s="4" t="s">
        <v>46</v>
      </c>
      <c r="H91" s="6" t="s">
        <v>16</v>
      </c>
      <c r="I91" s="6"/>
      <c r="J91" s="4" t="s">
        <v>88</v>
      </c>
      <c r="K91" s="9" t="str">
        <f t="shared" si="9"/>
        <v>Гондурас/Sancom/RND/0827pfx@</v>
      </c>
    </row>
    <row r="92" spans="1:12" s="4" customFormat="1" ht="30" hidden="1" customHeight="1" x14ac:dyDescent="0.25">
      <c r="A92" s="3" t="s">
        <v>231</v>
      </c>
      <c r="B92" s="4" t="s">
        <v>120</v>
      </c>
      <c r="C92" s="4" t="s">
        <v>8</v>
      </c>
      <c r="D92" s="6" t="s">
        <v>45</v>
      </c>
      <c r="E92" s="4" t="str">
        <f>IF(D92="Random","RND",IF(LEN(D92)&gt;15,"Укоротить",IF(D92="Сим-карты","SIM",D92)))</f>
        <v>RND</v>
      </c>
      <c r="F92" s="4" t="s">
        <v>51</v>
      </c>
      <c r="G92" s="4" t="s">
        <v>46</v>
      </c>
      <c r="H92" s="6"/>
      <c r="I92" s="6"/>
      <c r="J92" s="4" t="s">
        <v>88</v>
      </c>
      <c r="K92" s="9" t="str">
        <f t="shared" si="9"/>
        <v>Гондурас/Zorra/RND@</v>
      </c>
    </row>
    <row r="93" spans="1:12" s="4" customFormat="1" ht="30" hidden="1" customHeight="1" x14ac:dyDescent="0.25">
      <c r="A93" s="3" t="s">
        <v>231</v>
      </c>
      <c r="B93" s="4" t="s">
        <v>120</v>
      </c>
      <c r="C93" s="4" t="s">
        <v>256</v>
      </c>
      <c r="D93" s="6" t="s">
        <v>145</v>
      </c>
      <c r="E93" s="4" t="str">
        <f>IF(D93="Random","RND",IF(LEN(D93)&gt;15,"Укоротить",IF(D93="Сим-карты","SIM",D93)))</f>
        <v>SIM</v>
      </c>
      <c r="F93" s="4" t="s">
        <v>51</v>
      </c>
      <c r="G93" s="4" t="s">
        <v>46</v>
      </c>
      <c r="H93" s="6"/>
      <c r="I93" s="6"/>
      <c r="J93" s="4" t="s">
        <v>88</v>
      </c>
      <c r="K93" s="9" t="str">
        <f t="shared" si="9"/>
        <v>Гондурас/Шлюз1/SIM@</v>
      </c>
    </row>
    <row r="94" spans="1:12" s="4" customFormat="1" ht="30" hidden="1" customHeight="1" x14ac:dyDescent="0.25">
      <c r="A94" s="3" t="s">
        <v>231</v>
      </c>
      <c r="B94" s="4" t="s">
        <v>120</v>
      </c>
      <c r="C94" s="4" t="s">
        <v>257</v>
      </c>
      <c r="D94" s="6" t="s">
        <v>145</v>
      </c>
      <c r="E94" s="4" t="str">
        <f>IF(D94="Random","RND",IF(LEN(D94)&gt;15,"Укоротить",IF(D94="Сим-карты","SIM",D94)))</f>
        <v>SIM</v>
      </c>
      <c r="F94" s="4" t="s">
        <v>51</v>
      </c>
      <c r="G94" s="4" t="s">
        <v>46</v>
      </c>
      <c r="H94" s="6"/>
      <c r="I94" s="6"/>
      <c r="J94" s="4" t="s">
        <v>88</v>
      </c>
      <c r="K94" s="9" t="str">
        <f t="shared" si="9"/>
        <v>Гондурас/Шлюз2/SIM@</v>
      </c>
    </row>
    <row r="95" spans="1:12" s="4" customFormat="1" ht="30" hidden="1" customHeight="1" x14ac:dyDescent="0.25">
      <c r="A95" s="3" t="s">
        <v>22</v>
      </c>
      <c r="B95" s="4" t="s">
        <v>120</v>
      </c>
      <c r="C95" s="4" t="s">
        <v>9</v>
      </c>
      <c r="D95" s="6" t="s">
        <v>275</v>
      </c>
      <c r="E95" s="4" t="s">
        <v>82</v>
      </c>
      <c r="F95" s="4" t="s">
        <v>276</v>
      </c>
      <c r="G95" s="4" t="s">
        <v>48</v>
      </c>
      <c r="H95" s="6"/>
      <c r="I95" s="6"/>
      <c r="K95" s="9" t="str">
        <f t="shared" si="9"/>
        <v>Греция/Miatel/Pool_B@</v>
      </c>
    </row>
    <row r="96" spans="1:12" s="4" customFormat="1" ht="30" hidden="1" customHeight="1" x14ac:dyDescent="0.25">
      <c r="A96" s="3" t="s">
        <v>22</v>
      </c>
      <c r="B96" s="4" t="s">
        <v>120</v>
      </c>
      <c r="C96" s="4" t="s">
        <v>9</v>
      </c>
      <c r="D96" s="6" t="s">
        <v>45</v>
      </c>
      <c r="E96" s="4" t="str">
        <f>IF(D96="Random","RND",IF(LEN(D96)&gt;15,"Укоротить",IF(D96="Сим-карты","SIM",D96)))</f>
        <v>RND</v>
      </c>
      <c r="F96" s="4" t="s">
        <v>51</v>
      </c>
      <c r="G96" s="4" t="s">
        <v>46</v>
      </c>
      <c r="H96" s="6"/>
      <c r="I96" s="6"/>
      <c r="J96" s="4" t="s">
        <v>88</v>
      </c>
      <c r="K96" s="9" t="str">
        <f t="shared" si="9"/>
        <v>Греция/Miatel/RND@</v>
      </c>
    </row>
    <row r="97" spans="1:12" s="4" customFormat="1" ht="30" hidden="1" customHeight="1" x14ac:dyDescent="0.25">
      <c r="A97" s="3" t="s">
        <v>22</v>
      </c>
      <c r="B97" s="4" t="s">
        <v>120</v>
      </c>
      <c r="C97" s="4" t="s">
        <v>7</v>
      </c>
      <c r="D97" s="6" t="s">
        <v>275</v>
      </c>
      <c r="E97" s="4" t="s">
        <v>82</v>
      </c>
      <c r="F97" s="4" t="s">
        <v>276</v>
      </c>
      <c r="G97" s="4" t="s">
        <v>48</v>
      </c>
      <c r="H97" s="6" t="s">
        <v>12</v>
      </c>
      <c r="I97" s="6"/>
      <c r="K97" s="9" t="str">
        <f t="shared" si="9"/>
        <v>Греция/Sancom/Pool_B/0789pfx@</v>
      </c>
    </row>
    <row r="98" spans="1:12" ht="30" hidden="1" customHeight="1" x14ac:dyDescent="0.25">
      <c r="A98" s="3" t="s">
        <v>22</v>
      </c>
      <c r="B98" s="4" t="s">
        <v>120</v>
      </c>
      <c r="C98" s="4" t="s">
        <v>7</v>
      </c>
      <c r="D98" s="6" t="s">
        <v>45</v>
      </c>
      <c r="E98" s="4" t="str">
        <f t="shared" ref="E98:E133" si="11">IF(D98="Random","RND",IF(LEN(D98)&gt;15,"Укоротить",IF(D98="Сим-карты","SIM",D98)))</f>
        <v>RND</v>
      </c>
      <c r="F98" s="4" t="s">
        <v>51</v>
      </c>
      <c r="G98" s="4" t="s">
        <v>46</v>
      </c>
      <c r="H98" s="6" t="s">
        <v>12</v>
      </c>
      <c r="I98" s="6"/>
      <c r="J98" s="4" t="s">
        <v>88</v>
      </c>
      <c r="K98" s="9" t="str">
        <f t="shared" si="9"/>
        <v>Греция/Sancom/RND/0789pfx@</v>
      </c>
      <c r="L98" s="4"/>
    </row>
    <row r="99" spans="1:12" ht="30" hidden="1" customHeight="1" x14ac:dyDescent="0.25">
      <c r="A99" s="3" t="s">
        <v>22</v>
      </c>
      <c r="B99" s="4" t="s">
        <v>120</v>
      </c>
      <c r="C99" s="4" t="s">
        <v>8</v>
      </c>
      <c r="D99" s="6" t="s">
        <v>45</v>
      </c>
      <c r="E99" s="4" t="str">
        <f t="shared" si="11"/>
        <v>RND</v>
      </c>
      <c r="F99" s="4" t="s">
        <v>51</v>
      </c>
      <c r="G99" s="4" t="s">
        <v>46</v>
      </c>
      <c r="H99" s="6"/>
      <c r="I99" s="6"/>
      <c r="J99" s="4" t="s">
        <v>88</v>
      </c>
      <c r="K99" s="9" t="str">
        <f t="shared" si="9"/>
        <v>Греция/Zorra/RND@</v>
      </c>
      <c r="L99" s="4"/>
    </row>
    <row r="100" spans="1:12" ht="30" hidden="1" customHeight="1" x14ac:dyDescent="0.25">
      <c r="A100" s="3" t="s">
        <v>388</v>
      </c>
      <c r="B100" s="4" t="s">
        <v>120</v>
      </c>
      <c r="C100" s="4" t="s">
        <v>7</v>
      </c>
      <c r="D100" s="6" t="s">
        <v>45</v>
      </c>
      <c r="E100" s="27" t="str">
        <f>IF(D100="Random","RND",IF(LEN(D100)&gt;15,"Укоротить",IF(D100="Сим-карты","SIM",D100)))</f>
        <v>RND</v>
      </c>
      <c r="F100" s="4" t="s">
        <v>51</v>
      </c>
      <c r="G100" s="4" t="s">
        <v>46</v>
      </c>
      <c r="H100" s="6" t="s">
        <v>16</v>
      </c>
      <c r="I100" s="6"/>
      <c r="J100" s="4" t="s">
        <v>389</v>
      </c>
      <c r="K100" s="28" t="str">
        <f>IF(OR(E100="Укоротить",E100=0),"Нет номера",A100&amp;IF(ISBLANK(I100),"",$K$3&amp;I100)&amp;$K$3&amp;C100&amp;$K$3&amp;E100&amp;IF(ISBLANK(H100),"",$K$3&amp;H100&amp;"pfx")&amp;"@")</f>
        <v>Дания/Sancom/RND/0827pfx@</v>
      </c>
      <c r="L100" s="26"/>
    </row>
    <row r="101" spans="1:12" ht="30" hidden="1" customHeight="1" x14ac:dyDescent="0.25">
      <c r="A101" s="3" t="s">
        <v>170</v>
      </c>
      <c r="B101" s="4" t="s">
        <v>120</v>
      </c>
      <c r="C101" s="4" t="s">
        <v>9</v>
      </c>
      <c r="D101" s="6" t="s">
        <v>45</v>
      </c>
      <c r="E101" s="4" t="str">
        <f t="shared" si="11"/>
        <v>RND</v>
      </c>
      <c r="F101" s="4" t="s">
        <v>51</v>
      </c>
      <c r="G101" s="4" t="s">
        <v>46</v>
      </c>
      <c r="H101" s="6"/>
      <c r="I101" s="6"/>
      <c r="J101" s="4" t="s">
        <v>88</v>
      </c>
      <c r="K101" s="9" t="str">
        <f t="shared" si="9"/>
        <v>Доминиканская Республика/Miatel/RND@</v>
      </c>
      <c r="L101" s="4"/>
    </row>
    <row r="102" spans="1:12" ht="30" hidden="1" customHeight="1" x14ac:dyDescent="0.25">
      <c r="A102" s="3" t="s">
        <v>170</v>
      </c>
      <c r="B102" s="4" t="s">
        <v>120</v>
      </c>
      <c r="C102" s="4" t="s">
        <v>7</v>
      </c>
      <c r="D102" s="6" t="s">
        <v>45</v>
      </c>
      <c r="E102" s="4" t="str">
        <f t="shared" si="11"/>
        <v>RND</v>
      </c>
      <c r="F102" s="4" t="s">
        <v>51</v>
      </c>
      <c r="G102" s="4" t="s">
        <v>46</v>
      </c>
      <c r="H102" s="6" t="s">
        <v>16</v>
      </c>
      <c r="I102" s="6"/>
      <c r="J102" s="4" t="s">
        <v>88</v>
      </c>
      <c r="K102" s="9" t="str">
        <f t="shared" si="9"/>
        <v>Доминиканская Республика/Sancom/RND/0827pfx@</v>
      </c>
      <c r="L102" s="4"/>
    </row>
    <row r="103" spans="1:12" ht="30" hidden="1" customHeight="1" x14ac:dyDescent="0.25">
      <c r="A103" s="3" t="s">
        <v>170</v>
      </c>
      <c r="B103" s="4" t="s">
        <v>120</v>
      </c>
      <c r="C103" s="4" t="s">
        <v>8</v>
      </c>
      <c r="D103" s="6" t="s">
        <v>45</v>
      </c>
      <c r="E103" s="4" t="str">
        <f t="shared" si="11"/>
        <v>RND</v>
      </c>
      <c r="F103" s="4" t="s">
        <v>51</v>
      </c>
      <c r="G103" s="4" t="s">
        <v>46</v>
      </c>
      <c r="H103" s="6"/>
      <c r="I103" s="6"/>
      <c r="J103" s="4" t="s">
        <v>88</v>
      </c>
      <c r="K103" s="9" t="str">
        <f t="shared" si="9"/>
        <v>Доминиканская Республика/Zorra/RND@</v>
      </c>
      <c r="L103" s="4"/>
    </row>
    <row r="104" spans="1:12" ht="30" hidden="1" customHeight="1" x14ac:dyDescent="0.25">
      <c r="A104" s="3" t="s">
        <v>170</v>
      </c>
      <c r="B104" s="4" t="s">
        <v>120</v>
      </c>
      <c r="C104" s="4" t="s">
        <v>11</v>
      </c>
      <c r="D104" s="6" t="s">
        <v>50</v>
      </c>
      <c r="E104" s="4" t="str">
        <f t="shared" si="11"/>
        <v>SIM</v>
      </c>
      <c r="F104" s="4" t="s">
        <v>51</v>
      </c>
      <c r="G104" s="4"/>
      <c r="H104" s="6"/>
      <c r="I104" s="6"/>
      <c r="J104" s="4"/>
      <c r="K104" s="9" t="str">
        <f t="shared" si="9"/>
        <v>Доминиканская Республика/Шлюз/SIM@</v>
      </c>
      <c r="L104" s="4"/>
    </row>
    <row r="105" spans="1:12" ht="30" hidden="1" customHeight="1" x14ac:dyDescent="0.25">
      <c r="A105" s="3" t="s">
        <v>336</v>
      </c>
      <c r="B105" s="4" t="s">
        <v>120</v>
      </c>
      <c r="C105" s="4" t="s">
        <v>7</v>
      </c>
      <c r="D105" s="6" t="s">
        <v>45</v>
      </c>
      <c r="E105" s="4" t="str">
        <f t="shared" si="11"/>
        <v>RND</v>
      </c>
      <c r="F105" s="4" t="s">
        <v>51</v>
      </c>
      <c r="G105" s="4" t="s">
        <v>46</v>
      </c>
      <c r="H105" s="6" t="s">
        <v>12</v>
      </c>
      <c r="I105" s="6"/>
      <c r="J105" s="4" t="s">
        <v>88</v>
      </c>
      <c r="K105" s="9" t="str">
        <f t="shared" si="9"/>
        <v>Индия/Sancom/RND/0789pfx@</v>
      </c>
      <c r="L105" s="4"/>
    </row>
    <row r="106" spans="1:12" ht="30" hidden="1" customHeight="1" x14ac:dyDescent="0.25">
      <c r="A106" s="3" t="s">
        <v>336</v>
      </c>
      <c r="B106" s="4" t="s">
        <v>120</v>
      </c>
      <c r="C106" s="4" t="s">
        <v>9</v>
      </c>
      <c r="D106" s="6" t="s">
        <v>45</v>
      </c>
      <c r="E106" s="4" t="str">
        <f t="shared" si="11"/>
        <v>RND</v>
      </c>
      <c r="F106" s="4" t="s">
        <v>51</v>
      </c>
      <c r="G106" s="4" t="s">
        <v>46</v>
      </c>
      <c r="H106" s="6"/>
      <c r="I106" s="6"/>
      <c r="J106" s="4" t="s">
        <v>88</v>
      </c>
      <c r="K106" s="9" t="str">
        <f t="shared" si="9"/>
        <v>Индия/Miatel/RND@</v>
      </c>
      <c r="L106" s="4"/>
    </row>
    <row r="107" spans="1:12" ht="30" hidden="1" customHeight="1" x14ac:dyDescent="0.25">
      <c r="A107" s="3" t="s">
        <v>336</v>
      </c>
      <c r="B107" s="4" t="s">
        <v>120</v>
      </c>
      <c r="C107" s="4" t="s">
        <v>8</v>
      </c>
      <c r="D107" s="6" t="s">
        <v>45</v>
      </c>
      <c r="E107" s="4" t="str">
        <f t="shared" si="11"/>
        <v>RND</v>
      </c>
      <c r="F107" s="4" t="s">
        <v>51</v>
      </c>
      <c r="G107" s="4" t="s">
        <v>46</v>
      </c>
      <c r="H107" s="6"/>
      <c r="I107" s="6"/>
      <c r="J107" s="4" t="s">
        <v>88</v>
      </c>
      <c r="K107" s="9" t="str">
        <f t="shared" si="9"/>
        <v>Индия/Zorra/RND@</v>
      </c>
      <c r="L107" s="4"/>
    </row>
    <row r="108" spans="1:12" ht="30" hidden="1" customHeight="1" x14ac:dyDescent="0.25">
      <c r="A108" s="3" t="s">
        <v>23</v>
      </c>
      <c r="B108" s="4" t="s">
        <v>120</v>
      </c>
      <c r="C108" s="4" t="s">
        <v>9</v>
      </c>
      <c r="D108" s="6" t="s">
        <v>45</v>
      </c>
      <c r="E108" s="4" t="str">
        <f t="shared" si="11"/>
        <v>RND</v>
      </c>
      <c r="F108" s="4" t="s">
        <v>51</v>
      </c>
      <c r="G108" s="4" t="s">
        <v>46</v>
      </c>
      <c r="H108" s="6"/>
      <c r="I108" s="6"/>
      <c r="J108" s="4" t="s">
        <v>88</v>
      </c>
      <c r="K108" s="9" t="str">
        <f t="shared" si="9"/>
        <v>Испания/Miatel/RND@</v>
      </c>
      <c r="L108" s="4"/>
    </row>
    <row r="109" spans="1:12" ht="30" hidden="1" customHeight="1" x14ac:dyDescent="0.25">
      <c r="A109" s="3" t="s">
        <v>23</v>
      </c>
      <c r="B109" s="4" t="s">
        <v>120</v>
      </c>
      <c r="C109" s="4" t="s">
        <v>7</v>
      </c>
      <c r="D109" s="6" t="s">
        <v>45</v>
      </c>
      <c r="E109" s="4" t="str">
        <f t="shared" si="11"/>
        <v>RND</v>
      </c>
      <c r="F109" s="4" t="s">
        <v>51</v>
      </c>
      <c r="G109" s="4" t="s">
        <v>46</v>
      </c>
      <c r="H109" s="6" t="s">
        <v>12</v>
      </c>
      <c r="I109" s="6"/>
      <c r="J109" s="4" t="s">
        <v>88</v>
      </c>
      <c r="K109" s="9" t="str">
        <f t="shared" si="9"/>
        <v>Испания/Sancom/RND/0789pfx@</v>
      </c>
      <c r="L109" s="4"/>
    </row>
    <row r="110" spans="1:12" ht="30" hidden="1" customHeight="1" x14ac:dyDescent="0.25">
      <c r="A110" s="3" t="s">
        <v>23</v>
      </c>
      <c r="B110" s="4" t="s">
        <v>120</v>
      </c>
      <c r="C110" s="4" t="s">
        <v>7</v>
      </c>
      <c r="D110" s="6" t="s">
        <v>45</v>
      </c>
      <c r="E110" s="4" t="str">
        <f t="shared" si="11"/>
        <v>RND</v>
      </c>
      <c r="F110" s="4" t="s">
        <v>51</v>
      </c>
      <c r="G110" s="4" t="s">
        <v>46</v>
      </c>
      <c r="H110" s="6" t="s">
        <v>16</v>
      </c>
      <c r="I110" s="6"/>
      <c r="J110" s="4" t="s">
        <v>88</v>
      </c>
      <c r="K110" s="9" t="str">
        <f t="shared" ref="K110:K147" si="12">IF(OR(E110="Укоротить",E110=0),"Нет номера",A110&amp;IF(ISBLANK(I110),"",$K$3&amp;I110)&amp;$K$3&amp;C110&amp;$K$3&amp;E110&amp;IF(ISBLANK(H110),"",$K$3&amp;H110&amp;"pfx")&amp;"@")</f>
        <v>Испания/Sancom/RND/0827pfx@</v>
      </c>
      <c r="L110" s="4"/>
    </row>
    <row r="111" spans="1:12" ht="30" hidden="1" customHeight="1" x14ac:dyDescent="0.25">
      <c r="A111" s="3" t="s">
        <v>23</v>
      </c>
      <c r="B111" s="4" t="s">
        <v>120</v>
      </c>
      <c r="C111" s="4" t="s">
        <v>8</v>
      </c>
      <c r="D111" s="6" t="s">
        <v>45</v>
      </c>
      <c r="E111" s="4" t="str">
        <f t="shared" si="11"/>
        <v>RND</v>
      </c>
      <c r="F111" s="4" t="s">
        <v>51</v>
      </c>
      <c r="G111" s="4" t="s">
        <v>46</v>
      </c>
      <c r="H111" s="6"/>
      <c r="I111" s="6"/>
      <c r="J111" s="4" t="s">
        <v>88</v>
      </c>
      <c r="K111" s="9" t="str">
        <f t="shared" si="12"/>
        <v>Испания/Zorra/RND@</v>
      </c>
      <c r="L111" s="4"/>
    </row>
    <row r="112" spans="1:12" ht="30" hidden="1" customHeight="1" x14ac:dyDescent="0.25">
      <c r="A112" s="3" t="s">
        <v>23</v>
      </c>
      <c r="B112" s="4" t="s">
        <v>120</v>
      </c>
      <c r="C112" s="4" t="s">
        <v>9</v>
      </c>
      <c r="D112" s="6" t="s">
        <v>291</v>
      </c>
      <c r="E112" s="4" t="str">
        <f t="shared" si="11"/>
        <v>34695502587</v>
      </c>
      <c r="F112" s="4" t="s">
        <v>293</v>
      </c>
      <c r="G112" s="4" t="s">
        <v>46</v>
      </c>
      <c r="H112" s="6"/>
      <c r="I112" s="6"/>
      <c r="J112" s="4" t="s">
        <v>88</v>
      </c>
      <c r="K112" s="9" t="str">
        <f t="shared" si="12"/>
        <v>Испания/Miatel/34695502587@</v>
      </c>
      <c r="L112" s="4" t="s">
        <v>292</v>
      </c>
    </row>
    <row r="113" spans="1:12" ht="30" hidden="1" customHeight="1" x14ac:dyDescent="0.25">
      <c r="A113" s="3" t="s">
        <v>23</v>
      </c>
      <c r="B113" s="4" t="s">
        <v>120</v>
      </c>
      <c r="C113" s="4" t="s">
        <v>7</v>
      </c>
      <c r="D113" s="6" t="s">
        <v>291</v>
      </c>
      <c r="E113" s="4" t="str">
        <f t="shared" si="11"/>
        <v>34695502587</v>
      </c>
      <c r="F113" s="4" t="s">
        <v>293</v>
      </c>
      <c r="G113" s="4" t="s">
        <v>46</v>
      </c>
      <c r="H113" s="6" t="s">
        <v>16</v>
      </c>
      <c r="I113" s="6"/>
      <c r="J113" s="4" t="s">
        <v>88</v>
      </c>
      <c r="K113" s="9" t="str">
        <f t="shared" si="12"/>
        <v>Испания/Sancom/34695502587/0827pfx@</v>
      </c>
      <c r="L113" s="4" t="s">
        <v>292</v>
      </c>
    </row>
    <row r="114" spans="1:12" ht="30" hidden="1" customHeight="1" x14ac:dyDescent="0.25">
      <c r="A114" s="3" t="s">
        <v>23</v>
      </c>
      <c r="B114" s="4" t="s">
        <v>120</v>
      </c>
      <c r="C114" s="4" t="s">
        <v>357</v>
      </c>
      <c r="D114" s="6" t="s">
        <v>45</v>
      </c>
      <c r="E114" s="4" t="str">
        <f t="shared" ref="E114" si="13">IF(D114="Random","RND",IF(LEN(D114)&gt;15,"Укоротить",IF(D114="Сим-карты","SIM",D114)))</f>
        <v>RND</v>
      </c>
      <c r="F114" s="4" t="s">
        <v>51</v>
      </c>
      <c r="G114" s="4" t="s">
        <v>46</v>
      </c>
      <c r="H114" s="6"/>
      <c r="I114" s="6"/>
      <c r="J114" s="4"/>
      <c r="K114" s="9" t="str">
        <f>IF(OR(E114="Укоротить",E114=0),"Нет номера",A114&amp;IF(ISBLANK(I114),"",$K$3&amp;I114)&amp;$K$3&amp;C114&amp;$K$3&amp;E114&amp;IF(ISBLANK(H114),"",$K$3&amp;H114&amp;"pfx")&amp;"@")</f>
        <v>Испания/Intergo/RND@</v>
      </c>
      <c r="L114" s="4"/>
    </row>
    <row r="115" spans="1:12" ht="30" hidden="1" customHeight="1" x14ac:dyDescent="0.25">
      <c r="A115" s="3" t="s">
        <v>24</v>
      </c>
      <c r="B115" s="4" t="s">
        <v>120</v>
      </c>
      <c r="C115" s="4" t="s">
        <v>9</v>
      </c>
      <c r="D115" s="6" t="s">
        <v>45</v>
      </c>
      <c r="E115" s="4" t="str">
        <f t="shared" si="11"/>
        <v>RND</v>
      </c>
      <c r="F115" s="4" t="s">
        <v>51</v>
      </c>
      <c r="G115" s="4" t="s">
        <v>46</v>
      </c>
      <c r="H115" s="6"/>
      <c r="I115" s="6"/>
      <c r="J115" s="4" t="s">
        <v>157</v>
      </c>
      <c r="K115" s="9" t="str">
        <f t="shared" si="12"/>
        <v>Италия/Miatel/RND@</v>
      </c>
      <c r="L115" s="4"/>
    </row>
    <row r="116" spans="1:12" ht="30" hidden="1" customHeight="1" x14ac:dyDescent="0.25">
      <c r="A116" s="3" t="s">
        <v>24</v>
      </c>
      <c r="B116" s="4" t="s">
        <v>120</v>
      </c>
      <c r="C116" s="4" t="s">
        <v>9</v>
      </c>
      <c r="D116" s="6" t="s">
        <v>408</v>
      </c>
      <c r="E116" s="4" t="s">
        <v>81</v>
      </c>
      <c r="F116" s="4" t="s">
        <v>406</v>
      </c>
      <c r="G116" s="4" t="s">
        <v>46</v>
      </c>
      <c r="H116" s="6" t="s">
        <v>158</v>
      </c>
      <c r="I116" s="6"/>
      <c r="J116" s="4" t="s">
        <v>402</v>
      </c>
      <c r="K116" s="28" t="str">
        <f>IF(OR(E116="Укоротить",E116=0),"Нет номера",A116&amp;IF(ISBLANK(I116),"",$K$3&amp;I116)&amp;$K$3&amp;C116&amp;$K$3&amp;E116&amp;IF(ISBLANK(H116),"",$K$3&amp;H116&amp;"pfx")&amp;"@")</f>
        <v>Италия/Miatel/Pool_A/0333pfx@</v>
      </c>
      <c r="L116" s="26"/>
    </row>
    <row r="117" spans="1:12" ht="30" hidden="1" customHeight="1" x14ac:dyDescent="0.25">
      <c r="A117" s="3" t="s">
        <v>24</v>
      </c>
      <c r="B117" s="4" t="s">
        <v>120</v>
      </c>
      <c r="C117" s="4" t="s">
        <v>9</v>
      </c>
      <c r="D117" s="6" t="s">
        <v>407</v>
      </c>
      <c r="E117" s="4" t="s">
        <v>82</v>
      </c>
      <c r="F117" s="4" t="s">
        <v>409</v>
      </c>
      <c r="G117" s="4" t="s">
        <v>46</v>
      </c>
      <c r="H117" s="6" t="s">
        <v>158</v>
      </c>
      <c r="I117" s="6"/>
      <c r="J117" s="4" t="s">
        <v>402</v>
      </c>
      <c r="K117" s="28" t="str">
        <f>IF(OR(E117="Укоротить",E117=0),"Нет номера",A117&amp;IF(ISBLANK(I117),"",$K$3&amp;I117)&amp;$K$3&amp;C117&amp;$K$3&amp;E117&amp;IF(ISBLANK(H117),"",$K$3&amp;H117&amp;"pfx")&amp;"@")</f>
        <v>Италия/Miatel/Pool_B/0333pfx@</v>
      </c>
      <c r="L117" s="26"/>
    </row>
    <row r="118" spans="1:12" ht="30" customHeight="1" x14ac:dyDescent="0.25">
      <c r="A118" s="3" t="s">
        <v>24</v>
      </c>
      <c r="B118" s="40" t="s">
        <v>120</v>
      </c>
      <c r="C118" s="40" t="s">
        <v>9</v>
      </c>
      <c r="D118" s="41" t="s">
        <v>431</v>
      </c>
      <c r="E118" s="40" t="s">
        <v>81</v>
      </c>
      <c r="F118" s="40" t="s">
        <v>432</v>
      </c>
      <c r="G118" s="40" t="s">
        <v>46</v>
      </c>
      <c r="H118" s="41"/>
      <c r="I118" s="41" t="s">
        <v>400</v>
      </c>
      <c r="J118" s="40" t="s">
        <v>402</v>
      </c>
      <c r="K118" s="42" t="str">
        <f>IF(OR(E118="Укоротить",E118=0),"Нет номера",A118&amp;IF(ISBLANK(I118),"",$K$3&amp;I118)&amp;$K$3&amp;C118&amp;$K$3&amp;E118&amp;IF(ISBLANK(H118),"",$K$3&amp;H118&amp;"pfx")&amp;"@")</f>
        <v>Италия/ITM/Miatel/Pool_A@</v>
      </c>
      <c r="L118" s="40" t="s">
        <v>433</v>
      </c>
    </row>
    <row r="119" spans="1:12" ht="30" customHeight="1" x14ac:dyDescent="0.25">
      <c r="A119" s="3" t="s">
        <v>24</v>
      </c>
      <c r="B119" s="4" t="s">
        <v>120</v>
      </c>
      <c r="C119" s="4" t="s">
        <v>9</v>
      </c>
      <c r="D119" s="6" t="s">
        <v>411</v>
      </c>
      <c r="E119" s="4" t="s">
        <v>82</v>
      </c>
      <c r="F119" s="4" t="s">
        <v>410</v>
      </c>
      <c r="G119" s="4" t="s">
        <v>46</v>
      </c>
      <c r="H119" s="6"/>
      <c r="I119" s="6" t="s">
        <v>400</v>
      </c>
      <c r="J119" s="4" t="s">
        <v>402</v>
      </c>
      <c r="K119" s="28" t="str">
        <f>IF(OR(E119="Укоротить",E119=0),"Нет номера",A119&amp;IF(ISBLANK(I119),"",$K$3&amp;I119)&amp;$K$3&amp;C119&amp;$K$3&amp;E119&amp;IF(ISBLANK(H119),"",$K$3&amp;H119&amp;"pfx")&amp;"@")</f>
        <v>Италия/ITM/Miatel/Pool_B@</v>
      </c>
      <c r="L119" s="26"/>
    </row>
    <row r="120" spans="1:12" ht="30" hidden="1" customHeight="1" x14ac:dyDescent="0.25">
      <c r="A120" s="3" t="s">
        <v>24</v>
      </c>
      <c r="B120" s="4" t="s">
        <v>120</v>
      </c>
      <c r="C120" s="4" t="s">
        <v>7</v>
      </c>
      <c r="D120" s="6" t="s">
        <v>45</v>
      </c>
      <c r="E120" s="4" t="str">
        <f t="shared" ref="E120" si="14">IF(D120="Random","RND",IF(LEN(D120)&gt;15,"Укоротить",IF(D120="Сим-карты","SIM",D120)))</f>
        <v>RND</v>
      </c>
      <c r="F120" s="4" t="s">
        <v>51</v>
      </c>
      <c r="G120" s="4" t="s">
        <v>46</v>
      </c>
      <c r="H120" s="6" t="s">
        <v>12</v>
      </c>
      <c r="I120" s="6"/>
      <c r="J120" s="4" t="s">
        <v>88</v>
      </c>
      <c r="K120" s="9" t="str">
        <f t="shared" ref="K120" si="15">IF(OR(E120="Укоротить",E120=0),"Нет номера",A120&amp;IF(ISBLANK(I120),"",$K$3&amp;I120)&amp;$K$3&amp;C120&amp;$K$3&amp;E120&amp;IF(ISBLANK(H120),"",$K$3&amp;H120&amp;"pfx")&amp;"@")</f>
        <v>Италия/Sancom/RND/0789pfx@</v>
      </c>
      <c r="L120" s="4"/>
    </row>
    <row r="121" spans="1:12" ht="30" hidden="1" customHeight="1" x14ac:dyDescent="0.25">
      <c r="A121" s="3" t="s">
        <v>24</v>
      </c>
      <c r="B121" s="4" t="s">
        <v>120</v>
      </c>
      <c r="C121" s="4" t="s">
        <v>7</v>
      </c>
      <c r="D121" s="6" t="s">
        <v>399</v>
      </c>
      <c r="E121" s="4" t="s">
        <v>81</v>
      </c>
      <c r="F121" s="4" t="s">
        <v>398</v>
      </c>
      <c r="G121" s="4" t="s">
        <v>46</v>
      </c>
      <c r="H121" s="6" t="s">
        <v>15</v>
      </c>
      <c r="I121" s="6"/>
      <c r="J121" s="4" t="s">
        <v>88</v>
      </c>
      <c r="K121" s="28" t="str">
        <f>IF(OR(E121="Укоротить",E121=0),"Нет номера",A121&amp;IF(ISBLANK(I121),"",$K$3&amp;I121)&amp;$K$3&amp;C121&amp;$K$3&amp;E121&amp;IF(ISBLANK(H121),"",$K$3&amp;H121&amp;"pfx")&amp;"@")</f>
        <v>Италия/Sancom/Pool_A/0808pfx@</v>
      </c>
      <c r="L121" s="26"/>
    </row>
    <row r="122" spans="1:12" ht="30" hidden="1" customHeight="1" x14ac:dyDescent="0.25">
      <c r="A122" s="3" t="s">
        <v>24</v>
      </c>
      <c r="B122" s="4" t="s">
        <v>120</v>
      </c>
      <c r="C122" s="4" t="s">
        <v>7</v>
      </c>
      <c r="D122" s="6" t="s">
        <v>45</v>
      </c>
      <c r="E122" s="4" t="str">
        <f t="shared" si="11"/>
        <v>RND</v>
      </c>
      <c r="F122" s="4" t="s">
        <v>51</v>
      </c>
      <c r="G122" s="4" t="s">
        <v>46</v>
      </c>
      <c r="H122" s="6" t="s">
        <v>366</v>
      </c>
      <c r="I122" s="6"/>
      <c r="J122" s="4" t="s">
        <v>157</v>
      </c>
      <c r="K122" s="9" t="str">
        <f t="shared" si="12"/>
        <v>Италия/Sancom/RND/0825pfx@</v>
      </c>
      <c r="L122" s="4"/>
    </row>
    <row r="123" spans="1:12" ht="30" hidden="1" customHeight="1" x14ac:dyDescent="0.25">
      <c r="A123" s="3" t="s">
        <v>24</v>
      </c>
      <c r="B123" s="4" t="s">
        <v>120</v>
      </c>
      <c r="C123" s="4" t="s">
        <v>7</v>
      </c>
      <c r="D123" s="6" t="s">
        <v>45</v>
      </c>
      <c r="E123" s="4" t="str">
        <f t="shared" si="11"/>
        <v>RND</v>
      </c>
      <c r="F123" s="4" t="s">
        <v>51</v>
      </c>
      <c r="G123" s="4" t="s">
        <v>46</v>
      </c>
      <c r="H123" s="6" t="s">
        <v>13</v>
      </c>
      <c r="I123" s="6"/>
      <c r="J123" s="4" t="s">
        <v>88</v>
      </c>
      <c r="K123" s="9" t="str">
        <f t="shared" si="12"/>
        <v>Италия/Sancom/RND/0792pfx@</v>
      </c>
      <c r="L123" s="4"/>
    </row>
    <row r="124" spans="1:12" s="9" customFormat="1" ht="30" hidden="1" customHeight="1" x14ac:dyDescent="0.25">
      <c r="A124" s="3" t="s">
        <v>24</v>
      </c>
      <c r="B124" s="4" t="s">
        <v>120</v>
      </c>
      <c r="C124" s="4" t="s">
        <v>7</v>
      </c>
      <c r="D124" s="6" t="s">
        <v>45</v>
      </c>
      <c r="E124" s="4" t="str">
        <f t="shared" si="11"/>
        <v>RND</v>
      </c>
      <c r="F124" s="4" t="s">
        <v>51</v>
      </c>
      <c r="G124" s="4" t="s">
        <v>46</v>
      </c>
      <c r="H124" s="6" t="s">
        <v>16</v>
      </c>
      <c r="I124" s="6"/>
      <c r="J124" s="4" t="s">
        <v>374</v>
      </c>
      <c r="K124" s="9" t="str">
        <f t="shared" si="12"/>
        <v>Италия/Sancom/RND/0827pfx@</v>
      </c>
      <c r="L124" s="4"/>
    </row>
    <row r="125" spans="1:12" ht="30" hidden="1" customHeight="1" x14ac:dyDescent="0.25">
      <c r="A125" s="3" t="s">
        <v>24</v>
      </c>
      <c r="B125" s="4" t="s">
        <v>120</v>
      </c>
      <c r="C125" s="4" t="s">
        <v>11</v>
      </c>
      <c r="D125" s="6" t="s">
        <v>45</v>
      </c>
      <c r="E125" s="27" t="s">
        <v>145</v>
      </c>
      <c r="F125" s="4"/>
      <c r="G125" s="4" t="s">
        <v>46</v>
      </c>
      <c r="H125" s="6"/>
      <c r="I125" s="6"/>
      <c r="J125" s="4" t="s">
        <v>88</v>
      </c>
      <c r="K125" s="28" t="str">
        <f>IF(OR(E125="Укоротить",E125=0),"Нет номера",A125&amp;IF(ISBLANK(I125),"",$K$3&amp;I125)&amp;$K$3&amp;C125&amp;$K$3&amp;E125&amp;IF(ISBLANK(H125),"",$K$3&amp;H125&amp;"pfx")&amp;"@")</f>
        <v>Италия/Шлюз/SIM@</v>
      </c>
      <c r="L125" s="26"/>
    </row>
    <row r="126" spans="1:12" ht="30" hidden="1" customHeight="1" x14ac:dyDescent="0.25">
      <c r="A126" s="3" t="s">
        <v>24</v>
      </c>
      <c r="B126" s="4" t="s">
        <v>120</v>
      </c>
      <c r="C126" s="4" t="s">
        <v>370</v>
      </c>
      <c r="D126" s="6" t="s">
        <v>45</v>
      </c>
      <c r="E126" s="27" t="str">
        <f>IF(D126="Random","RND",IF(LEN(D126)&gt;15,"Укоротить",IF(D126="Сим-карты","SIM",D126)))</f>
        <v>RND</v>
      </c>
      <c r="F126" s="4" t="s">
        <v>51</v>
      </c>
      <c r="G126" s="4" t="s">
        <v>46</v>
      </c>
      <c r="H126" s="6"/>
      <c r="I126" s="6"/>
      <c r="J126" s="4" t="s">
        <v>88</v>
      </c>
      <c r="K126" s="28" t="str">
        <f>IF(OR(E126="Укоротить",E126=0),"Нет номера",A126&amp;IF(ISBLANK(I126),"",$K$3&amp;I126)&amp;$K$3&amp;C126&amp;$K$3&amp;E126&amp;IF(ISBLANK(H126),"",$K$3&amp;H126&amp;"pfx")&amp;"@")</f>
        <v>Италия/Krejton/RND@</v>
      </c>
      <c r="L126" s="26"/>
    </row>
    <row r="127" spans="1:12" ht="30" hidden="1" customHeight="1" x14ac:dyDescent="0.25">
      <c r="A127" s="3" t="s">
        <v>24</v>
      </c>
      <c r="B127" s="4" t="s">
        <v>120</v>
      </c>
      <c r="C127" s="4" t="s">
        <v>368</v>
      </c>
      <c r="D127" s="6" t="s">
        <v>45</v>
      </c>
      <c r="E127" s="27" t="str">
        <f>IF(D127="Random","RND",IF(LEN(D127)&gt;15,"Укоротить",IF(D127="Сим-карты","SIM",D127)))</f>
        <v>RND</v>
      </c>
      <c r="F127" s="4" t="s">
        <v>51</v>
      </c>
      <c r="G127" s="4" t="s">
        <v>46</v>
      </c>
      <c r="H127" s="6"/>
      <c r="I127" s="6"/>
      <c r="J127" s="4" t="s">
        <v>157</v>
      </c>
      <c r="K127" s="28" t="s">
        <v>381</v>
      </c>
      <c r="L127" s="26"/>
    </row>
    <row r="128" spans="1:12" ht="30" hidden="1" customHeight="1" x14ac:dyDescent="0.25">
      <c r="A128" s="3" t="s">
        <v>24</v>
      </c>
      <c r="B128" s="4" t="s">
        <v>120</v>
      </c>
      <c r="C128" s="4" t="s">
        <v>368</v>
      </c>
      <c r="D128" s="6" t="s">
        <v>45</v>
      </c>
      <c r="E128" s="27" t="str">
        <f>IF(D128="Random","RND",IF(LEN(D128)&gt;15,"Укоротить",IF(D128="Сим-карты","SIM",D128)))</f>
        <v>RND</v>
      </c>
      <c r="F128" s="4" t="s">
        <v>51</v>
      </c>
      <c r="G128" s="4" t="s">
        <v>46</v>
      </c>
      <c r="H128" s="6" t="s">
        <v>379</v>
      </c>
      <c r="I128" s="6"/>
      <c r="J128" s="4" t="s">
        <v>88</v>
      </c>
      <c r="K128" s="28" t="str">
        <f>IF(OR(E128="Укоротить",E128=0),"Нет номера",A128&amp;IF(ISBLANK(I128),"",$K$3&amp;I128)&amp;$K$3&amp;C128&amp;$K$3&amp;E128&amp;IF(ISBLANK(H128),"",$K$3&amp;H128&amp;"pfx")&amp;"@")</f>
        <v>Италия/AOneVoip/RND/02075pfx@</v>
      </c>
      <c r="L128" s="26"/>
    </row>
    <row r="129" spans="1:12" ht="30" hidden="1" customHeight="1" x14ac:dyDescent="0.25">
      <c r="A129" s="3" t="s">
        <v>24</v>
      </c>
      <c r="B129" s="4" t="s">
        <v>120</v>
      </c>
      <c r="C129" s="4" t="s">
        <v>352</v>
      </c>
      <c r="D129" s="6" t="s">
        <v>45</v>
      </c>
      <c r="E129" s="27" t="str">
        <f>IF(D129="Random","RND",IF(LEN(D129)&gt;15,"Укоротить",IF(D129="Сим-карты","SIM",D129)))</f>
        <v>RND</v>
      </c>
      <c r="F129" s="4" t="s">
        <v>51</v>
      </c>
      <c r="G129" s="4"/>
      <c r="H129" s="6" t="s">
        <v>387</v>
      </c>
      <c r="I129" s="6"/>
      <c r="J129" s="4" t="s">
        <v>88</v>
      </c>
      <c r="K129" s="28" t="str">
        <f>IF(OR(E129="Укоротить",E129=0),"Нет номера",A129&amp;IF(ISBLANK(I129),"",$K$3&amp;I129)&amp;$K$3&amp;C129&amp;$K$3&amp;E129&amp;IF(ISBLANK(H129),"",$K$3&amp;H129&amp;"pfx")&amp;"@")</f>
        <v>Италия/Rocketcalls/RND/070pfx@</v>
      </c>
      <c r="L129" s="26"/>
    </row>
    <row r="130" spans="1:12" ht="30" hidden="1" customHeight="1" x14ac:dyDescent="0.25">
      <c r="A130" s="3" t="s">
        <v>24</v>
      </c>
      <c r="B130" s="4" t="s">
        <v>120</v>
      </c>
      <c r="C130" s="4" t="s">
        <v>8</v>
      </c>
      <c r="D130" s="6" t="s">
        <v>45</v>
      </c>
      <c r="E130" s="4" t="str">
        <f t="shared" si="11"/>
        <v>RND</v>
      </c>
      <c r="F130" s="4" t="s">
        <v>51</v>
      </c>
      <c r="G130" s="4" t="s">
        <v>46</v>
      </c>
      <c r="H130" s="6"/>
      <c r="I130" s="6"/>
      <c r="J130" s="4" t="s">
        <v>88</v>
      </c>
      <c r="K130" s="9" t="str">
        <f t="shared" si="12"/>
        <v>Италия/Zorra/RND@</v>
      </c>
      <c r="L130" s="4"/>
    </row>
    <row r="131" spans="1:12" ht="30" hidden="1" customHeight="1" x14ac:dyDescent="0.25">
      <c r="A131" s="3" t="s">
        <v>173</v>
      </c>
      <c r="B131" s="4" t="s">
        <v>120</v>
      </c>
      <c r="C131" s="4" t="s">
        <v>9</v>
      </c>
      <c r="D131" s="6" t="s">
        <v>45</v>
      </c>
      <c r="E131" s="4" t="str">
        <f t="shared" si="11"/>
        <v>RND</v>
      </c>
      <c r="F131" s="4" t="s">
        <v>51</v>
      </c>
      <c r="G131" s="4" t="s">
        <v>46</v>
      </c>
      <c r="H131" s="6"/>
      <c r="I131" s="6"/>
      <c r="J131" s="4" t="s">
        <v>178</v>
      </c>
      <c r="K131" s="9" t="str">
        <f t="shared" si="12"/>
        <v>Кения/Miatel/RND@</v>
      </c>
      <c r="L131" s="4"/>
    </row>
    <row r="132" spans="1:12" ht="30" hidden="1" customHeight="1" x14ac:dyDescent="0.25">
      <c r="A132" s="3" t="s">
        <v>173</v>
      </c>
      <c r="B132" s="4" t="s">
        <v>120</v>
      </c>
      <c r="C132" s="4" t="s">
        <v>7</v>
      </c>
      <c r="D132" s="6" t="s">
        <v>45</v>
      </c>
      <c r="E132" s="4" t="str">
        <f t="shared" si="11"/>
        <v>RND</v>
      </c>
      <c r="F132" s="4" t="s">
        <v>51</v>
      </c>
      <c r="G132" s="4" t="s">
        <v>46</v>
      </c>
      <c r="H132" s="6" t="s">
        <v>16</v>
      </c>
      <c r="I132" s="6"/>
      <c r="J132" s="4" t="s">
        <v>88</v>
      </c>
      <c r="K132" s="9" t="str">
        <f t="shared" si="12"/>
        <v>Кения/Sancom/RND/0827pfx@</v>
      </c>
      <c r="L132" s="4"/>
    </row>
    <row r="133" spans="1:12" ht="30" hidden="1" customHeight="1" x14ac:dyDescent="0.25">
      <c r="A133" s="3" t="s">
        <v>173</v>
      </c>
      <c r="B133" s="4" t="s">
        <v>120</v>
      </c>
      <c r="C133" s="4" t="s">
        <v>8</v>
      </c>
      <c r="D133" s="6" t="s">
        <v>45</v>
      </c>
      <c r="E133" s="4" t="str">
        <f t="shared" si="11"/>
        <v>RND</v>
      </c>
      <c r="F133" s="4" t="s">
        <v>51</v>
      </c>
      <c r="G133" s="4" t="s">
        <v>46</v>
      </c>
      <c r="H133" s="6"/>
      <c r="I133" s="6"/>
      <c r="J133" s="4" t="s">
        <v>88</v>
      </c>
      <c r="K133" s="9" t="str">
        <f t="shared" si="12"/>
        <v>Кения/Zorra/RND@</v>
      </c>
      <c r="L133" s="4"/>
    </row>
    <row r="134" spans="1:12" ht="30" hidden="1" customHeight="1" x14ac:dyDescent="0.25">
      <c r="A134" s="3" t="s">
        <v>25</v>
      </c>
      <c r="B134" s="4" t="s">
        <v>120</v>
      </c>
      <c r="C134" s="4" t="s">
        <v>9</v>
      </c>
      <c r="D134" s="6" t="s">
        <v>298</v>
      </c>
      <c r="E134" s="4" t="s">
        <v>81</v>
      </c>
      <c r="F134" s="4" t="s">
        <v>51</v>
      </c>
      <c r="G134" s="4" t="s">
        <v>46</v>
      </c>
      <c r="H134" s="6"/>
      <c r="I134" s="6"/>
      <c r="J134" s="4" t="s">
        <v>88</v>
      </c>
      <c r="K134" s="9" t="str">
        <f t="shared" si="12"/>
        <v>Кипр/Miatel/Pool_A@</v>
      </c>
      <c r="L134" s="4"/>
    </row>
    <row r="135" spans="1:12" ht="30" hidden="1" customHeight="1" x14ac:dyDescent="0.25">
      <c r="A135" s="3" t="s">
        <v>25</v>
      </c>
      <c r="B135" s="4" t="s">
        <v>120</v>
      </c>
      <c r="C135" s="4" t="s">
        <v>7</v>
      </c>
      <c r="D135" s="6" t="s">
        <v>45</v>
      </c>
      <c r="E135" s="4" t="str">
        <f t="shared" ref="E135:E146" si="16">IF(D135="Random","RND",IF(LEN(D135)&gt;15,"Укоротить",IF(D135="Сим-карты","SIM",D135)))</f>
        <v>RND</v>
      </c>
      <c r="F135" s="4" t="s">
        <v>51</v>
      </c>
      <c r="G135" s="4" t="s">
        <v>46</v>
      </c>
      <c r="H135" s="6" t="s">
        <v>12</v>
      </c>
      <c r="I135" s="6"/>
      <c r="J135" s="4" t="s">
        <v>88</v>
      </c>
      <c r="K135" s="9" t="str">
        <f t="shared" si="12"/>
        <v>Кипр/Sancom/RND/0789pfx@</v>
      </c>
      <c r="L135" s="4"/>
    </row>
    <row r="136" spans="1:12" ht="30" hidden="1" customHeight="1" x14ac:dyDescent="0.25">
      <c r="A136" s="3" t="s">
        <v>25</v>
      </c>
      <c r="B136" s="4" t="s">
        <v>120</v>
      </c>
      <c r="C136" s="4" t="s">
        <v>7</v>
      </c>
      <c r="D136" s="6" t="s">
        <v>45</v>
      </c>
      <c r="E136" s="4" t="str">
        <f t="shared" si="16"/>
        <v>RND</v>
      </c>
      <c r="F136" s="4" t="s">
        <v>51</v>
      </c>
      <c r="G136" s="4" t="s">
        <v>46</v>
      </c>
      <c r="H136" s="6" t="s">
        <v>16</v>
      </c>
      <c r="I136" s="6"/>
      <c r="J136" s="4" t="s">
        <v>88</v>
      </c>
      <c r="K136" s="9" t="str">
        <f t="shared" si="12"/>
        <v>Кипр/Sancom/RND/0827pfx@</v>
      </c>
      <c r="L136" s="4"/>
    </row>
    <row r="137" spans="1:12" ht="30" hidden="1" customHeight="1" x14ac:dyDescent="0.25">
      <c r="A137" s="3" t="s">
        <v>25</v>
      </c>
      <c r="B137" s="4" t="s">
        <v>120</v>
      </c>
      <c r="C137" s="4" t="s">
        <v>8</v>
      </c>
      <c r="D137" s="6" t="s">
        <v>45</v>
      </c>
      <c r="E137" s="4" t="str">
        <f t="shared" si="16"/>
        <v>RND</v>
      </c>
      <c r="F137" s="4" t="s">
        <v>51</v>
      </c>
      <c r="G137" s="4" t="s">
        <v>46</v>
      </c>
      <c r="H137" s="6"/>
      <c r="I137" s="6"/>
      <c r="J137" s="4" t="s">
        <v>88</v>
      </c>
      <c r="K137" s="9" t="str">
        <f t="shared" si="12"/>
        <v>Кипр/Zorra/RND@</v>
      </c>
      <c r="L137" s="4"/>
    </row>
    <row r="138" spans="1:12" ht="30" hidden="1" customHeight="1" x14ac:dyDescent="0.25">
      <c r="A138" s="3" t="s">
        <v>26</v>
      </c>
      <c r="B138" s="4" t="s">
        <v>120</v>
      </c>
      <c r="C138" s="4" t="s">
        <v>9</v>
      </c>
      <c r="D138" s="6" t="s">
        <v>45</v>
      </c>
      <c r="E138" s="4" t="str">
        <f t="shared" si="16"/>
        <v>RND</v>
      </c>
      <c r="F138" s="4" t="s">
        <v>51</v>
      </c>
      <c r="G138" s="4" t="s">
        <v>46</v>
      </c>
      <c r="H138" s="6"/>
      <c r="I138" s="6"/>
      <c r="J138" s="4" t="s">
        <v>88</v>
      </c>
      <c r="K138" s="9" t="str">
        <f t="shared" si="12"/>
        <v>Колумбия/Miatel/RND@</v>
      </c>
      <c r="L138" s="4"/>
    </row>
    <row r="139" spans="1:12" ht="30" hidden="1" customHeight="1" x14ac:dyDescent="0.25">
      <c r="A139" s="3" t="s">
        <v>26</v>
      </c>
      <c r="B139" s="4" t="s">
        <v>120</v>
      </c>
      <c r="C139" s="4" t="s">
        <v>7</v>
      </c>
      <c r="D139" s="6" t="s">
        <v>45</v>
      </c>
      <c r="E139" s="4" t="str">
        <f t="shared" si="16"/>
        <v>RND</v>
      </c>
      <c r="F139" s="4" t="s">
        <v>51</v>
      </c>
      <c r="G139" s="4" t="s">
        <v>46</v>
      </c>
      <c r="H139" s="6" t="s">
        <v>16</v>
      </c>
      <c r="I139" s="6"/>
      <c r="J139" s="4" t="s">
        <v>88</v>
      </c>
      <c r="K139" s="9" t="str">
        <f t="shared" si="12"/>
        <v>Колумбия/Sancom/RND/0827pfx@</v>
      </c>
      <c r="L139" s="4"/>
    </row>
    <row r="140" spans="1:12" ht="30" hidden="1" customHeight="1" x14ac:dyDescent="0.25">
      <c r="A140" s="3" t="s">
        <v>26</v>
      </c>
      <c r="B140" s="4" t="s">
        <v>120</v>
      </c>
      <c r="C140" s="4" t="s">
        <v>8</v>
      </c>
      <c r="D140" s="6" t="s">
        <v>45</v>
      </c>
      <c r="E140" s="4" t="str">
        <f t="shared" si="16"/>
        <v>RND</v>
      </c>
      <c r="F140" s="4" t="s">
        <v>51</v>
      </c>
      <c r="G140" s="4" t="s">
        <v>46</v>
      </c>
      <c r="H140" s="6"/>
      <c r="I140" s="6"/>
      <c r="J140" s="4" t="s">
        <v>88</v>
      </c>
      <c r="K140" s="9" t="str">
        <f t="shared" si="12"/>
        <v>Колумбия/Zorra/RND@</v>
      </c>
      <c r="L140" s="4"/>
    </row>
    <row r="141" spans="1:12" ht="30" hidden="1" customHeight="1" x14ac:dyDescent="0.25">
      <c r="A141" s="3" t="s">
        <v>27</v>
      </c>
      <c r="B141" s="4" t="s">
        <v>120</v>
      </c>
      <c r="C141" s="4" t="s">
        <v>9</v>
      </c>
      <c r="D141" s="6" t="s">
        <v>45</v>
      </c>
      <c r="E141" s="4" t="str">
        <f t="shared" si="16"/>
        <v>RND</v>
      </c>
      <c r="F141" s="4" t="s">
        <v>51</v>
      </c>
      <c r="G141" s="4" t="s">
        <v>46</v>
      </c>
      <c r="H141" s="6"/>
      <c r="I141" s="6"/>
      <c r="J141" s="4" t="s">
        <v>88</v>
      </c>
      <c r="K141" s="9" t="str">
        <f t="shared" si="12"/>
        <v>Косово/Miatel/RND@</v>
      </c>
      <c r="L141" s="4"/>
    </row>
    <row r="142" spans="1:12" ht="30" hidden="1" customHeight="1" x14ac:dyDescent="0.25">
      <c r="A142" s="3" t="s">
        <v>27</v>
      </c>
      <c r="B142" s="4" t="s">
        <v>120</v>
      </c>
      <c r="C142" s="4" t="s">
        <v>7</v>
      </c>
      <c r="D142" s="6" t="s">
        <v>45</v>
      </c>
      <c r="E142" s="4" t="str">
        <f t="shared" si="16"/>
        <v>RND</v>
      </c>
      <c r="F142" s="4" t="s">
        <v>51</v>
      </c>
      <c r="G142" s="4" t="s">
        <v>46</v>
      </c>
      <c r="H142" s="6" t="s">
        <v>12</v>
      </c>
      <c r="I142" s="6"/>
      <c r="J142" s="4" t="s">
        <v>88</v>
      </c>
      <c r="K142" s="9" t="str">
        <f t="shared" si="12"/>
        <v>Косово/Sancom/RND/0789pfx@</v>
      </c>
      <c r="L142" s="4"/>
    </row>
    <row r="143" spans="1:12" ht="30" hidden="1" customHeight="1" x14ac:dyDescent="0.25">
      <c r="A143" s="3" t="s">
        <v>169</v>
      </c>
      <c r="B143" s="4" t="s">
        <v>120</v>
      </c>
      <c r="C143" s="4" t="s">
        <v>9</v>
      </c>
      <c r="D143" s="6" t="s">
        <v>45</v>
      </c>
      <c r="E143" s="4" t="str">
        <f t="shared" si="16"/>
        <v>RND</v>
      </c>
      <c r="F143" s="4" t="s">
        <v>51</v>
      </c>
      <c r="G143" s="4" t="s">
        <v>46</v>
      </c>
      <c r="H143" s="6"/>
      <c r="I143" s="6"/>
      <c r="J143" s="4" t="s">
        <v>88</v>
      </c>
      <c r="K143" s="9" t="str">
        <f t="shared" si="12"/>
        <v>Коста-Рика/Miatel/RND@</v>
      </c>
      <c r="L143" s="4"/>
    </row>
    <row r="144" spans="1:12" ht="30" hidden="1" customHeight="1" x14ac:dyDescent="0.25">
      <c r="A144" s="3" t="s">
        <v>169</v>
      </c>
      <c r="B144" s="4" t="s">
        <v>120</v>
      </c>
      <c r="C144" s="4" t="s">
        <v>7</v>
      </c>
      <c r="D144" s="6" t="s">
        <v>45</v>
      </c>
      <c r="E144" s="4" t="str">
        <f t="shared" si="16"/>
        <v>RND</v>
      </c>
      <c r="F144" s="4" t="s">
        <v>51</v>
      </c>
      <c r="G144" s="4" t="s">
        <v>46</v>
      </c>
      <c r="H144" s="6" t="s">
        <v>16</v>
      </c>
      <c r="I144" s="6"/>
      <c r="J144" s="4" t="s">
        <v>88</v>
      </c>
      <c r="K144" s="9" t="str">
        <f t="shared" si="12"/>
        <v>Коста-Рика/Sancom/RND/0827pfx@</v>
      </c>
      <c r="L144" s="4"/>
    </row>
    <row r="145" spans="1:12" ht="72" hidden="1" customHeight="1" x14ac:dyDescent="0.25">
      <c r="A145" s="3" t="s">
        <v>169</v>
      </c>
      <c r="B145" s="4" t="s">
        <v>120</v>
      </c>
      <c r="C145" s="4" t="s">
        <v>8</v>
      </c>
      <c r="D145" s="6" t="s">
        <v>45</v>
      </c>
      <c r="E145" s="4" t="str">
        <f t="shared" si="16"/>
        <v>RND</v>
      </c>
      <c r="F145" s="4" t="s">
        <v>51</v>
      </c>
      <c r="G145" s="4" t="s">
        <v>46</v>
      </c>
      <c r="H145" s="6"/>
      <c r="I145" s="6"/>
      <c r="J145" s="4" t="s">
        <v>88</v>
      </c>
      <c r="K145" s="9" t="str">
        <f t="shared" si="12"/>
        <v>Коста-Рика/Zorra/RND@</v>
      </c>
      <c r="L145" s="4"/>
    </row>
    <row r="146" spans="1:12" ht="72" hidden="1" customHeight="1" x14ac:dyDescent="0.25">
      <c r="A146" s="3" t="s">
        <v>169</v>
      </c>
      <c r="B146" s="4" t="s">
        <v>120</v>
      </c>
      <c r="C146" s="4" t="s">
        <v>11</v>
      </c>
      <c r="D146" s="6" t="s">
        <v>50</v>
      </c>
      <c r="E146" s="4" t="str">
        <f t="shared" si="16"/>
        <v>SIM</v>
      </c>
      <c r="F146" s="4"/>
      <c r="G146" s="4" t="s">
        <v>46</v>
      </c>
      <c r="H146" s="6"/>
      <c r="I146" s="6"/>
      <c r="J146" s="4"/>
      <c r="K146" s="9" t="str">
        <f t="shared" si="12"/>
        <v>Коста-Рика/Шлюз/SIM@</v>
      </c>
      <c r="L146" s="4"/>
    </row>
    <row r="147" spans="1:12" ht="72" hidden="1" customHeight="1" x14ac:dyDescent="0.25">
      <c r="A147" s="3" t="s">
        <v>28</v>
      </c>
      <c r="B147" s="4" t="s">
        <v>120</v>
      </c>
      <c r="C147" s="4" t="s">
        <v>9</v>
      </c>
      <c r="D147" s="31" t="s">
        <v>384</v>
      </c>
      <c r="E147" s="4" t="s">
        <v>81</v>
      </c>
      <c r="F147" s="4" t="s">
        <v>382</v>
      </c>
      <c r="G147" s="4" t="s">
        <v>46</v>
      </c>
      <c r="H147" s="6"/>
      <c r="I147" s="6"/>
      <c r="J147" s="4" t="s">
        <v>103</v>
      </c>
      <c r="K147" s="9" t="str">
        <f t="shared" si="12"/>
        <v>Латвия/Miatel/Pool_A@</v>
      </c>
      <c r="L147" s="4"/>
    </row>
    <row r="148" spans="1:12" ht="72" hidden="1" customHeight="1" x14ac:dyDescent="0.25">
      <c r="A148" s="3" t="s">
        <v>28</v>
      </c>
      <c r="B148" s="4" t="s">
        <v>120</v>
      </c>
      <c r="C148" s="4" t="s">
        <v>7</v>
      </c>
      <c r="D148" s="31" t="s">
        <v>384</v>
      </c>
      <c r="E148" s="4" t="s">
        <v>81</v>
      </c>
      <c r="F148" s="4" t="s">
        <v>382</v>
      </c>
      <c r="G148" s="4" t="s">
        <v>46</v>
      </c>
      <c r="H148" s="6" t="s">
        <v>12</v>
      </c>
      <c r="I148" s="6"/>
      <c r="J148" s="4" t="s">
        <v>103</v>
      </c>
      <c r="K148" s="9" t="s">
        <v>127</v>
      </c>
      <c r="L148" s="4"/>
    </row>
    <row r="149" spans="1:12" ht="72" hidden="1" customHeight="1" x14ac:dyDescent="0.25">
      <c r="A149" s="3" t="s">
        <v>28</v>
      </c>
      <c r="B149" s="4" t="s">
        <v>120</v>
      </c>
      <c r="C149" s="4" t="s">
        <v>7</v>
      </c>
      <c r="D149" s="6" t="s">
        <v>45</v>
      </c>
      <c r="E149" s="4" t="str">
        <f>IF(D149="Random","RND",IF(LEN(D149)&gt;15,"Укоротить",IF(D149="Сим-карты","SIM",D149)))</f>
        <v>RND</v>
      </c>
      <c r="F149" s="4" t="s">
        <v>166</v>
      </c>
      <c r="G149" s="4" t="s">
        <v>46</v>
      </c>
      <c r="H149" s="6" t="s">
        <v>12</v>
      </c>
      <c r="I149" s="6"/>
      <c r="J149" s="4" t="s">
        <v>88</v>
      </c>
      <c r="K149" s="9" t="str">
        <f t="shared" ref="K149:K213" si="17">IF(OR(E149="Укоротить",E149=0),"Нет номера",A149&amp;IF(ISBLANK(I149),"",$K$3&amp;I149)&amp;$K$3&amp;C149&amp;$K$3&amp;E149&amp;IF(ISBLANK(H149),"",$K$3&amp;H149&amp;"pfx")&amp;"@")</f>
        <v>Латвия/Sancom/RND/0789pfx@</v>
      </c>
      <c r="L149" s="4" t="s">
        <v>316</v>
      </c>
    </row>
    <row r="150" spans="1:12" ht="30" hidden="1" customHeight="1" x14ac:dyDescent="0.25">
      <c r="A150" s="3" t="s">
        <v>28</v>
      </c>
      <c r="B150" s="4" t="s">
        <v>120</v>
      </c>
      <c r="C150" s="4" t="s">
        <v>8</v>
      </c>
      <c r="D150" s="6" t="s">
        <v>45</v>
      </c>
      <c r="E150" s="4" t="str">
        <f>IF(D150="Random","RND",IF(LEN(D150)&gt;15,"Укоротить",IF(D150="Сим-карты","SIM",D150)))</f>
        <v>RND</v>
      </c>
      <c r="F150" s="4" t="s">
        <v>51</v>
      </c>
      <c r="G150" s="4" t="s">
        <v>46</v>
      </c>
      <c r="H150" s="6"/>
      <c r="I150" s="6"/>
      <c r="J150" s="4" t="s">
        <v>88</v>
      </c>
      <c r="K150" s="9" t="str">
        <f t="shared" si="17"/>
        <v>Латвия/Zorra/RND@</v>
      </c>
      <c r="L150" s="4"/>
    </row>
    <row r="151" spans="1:12" ht="30" hidden="1" customHeight="1" x14ac:dyDescent="0.25">
      <c r="A151" s="3" t="s">
        <v>28</v>
      </c>
      <c r="B151" s="4" t="s">
        <v>120</v>
      </c>
      <c r="C151" s="4" t="s">
        <v>9</v>
      </c>
      <c r="D151" s="6" t="s">
        <v>324</v>
      </c>
      <c r="E151" s="4" t="s">
        <v>82</v>
      </c>
      <c r="F151" s="4" t="s">
        <v>319</v>
      </c>
      <c r="G151" s="4" t="s">
        <v>46</v>
      </c>
      <c r="H151" s="6"/>
      <c r="I151" s="6" t="s">
        <v>317</v>
      </c>
      <c r="J151" s="4" t="s">
        <v>103</v>
      </c>
      <c r="K151" s="9" t="str">
        <f t="shared" si="17"/>
        <v>Латвия/Autocall/Miatel/Pool_B@</v>
      </c>
      <c r="L151" s="4" t="s">
        <v>318</v>
      </c>
    </row>
    <row r="152" spans="1:12" ht="30" hidden="1" customHeight="1" x14ac:dyDescent="0.25">
      <c r="A152" s="3" t="s">
        <v>29</v>
      </c>
      <c r="B152" s="4" t="s">
        <v>120</v>
      </c>
      <c r="C152" s="4" t="s">
        <v>9</v>
      </c>
      <c r="D152" s="6" t="s">
        <v>153</v>
      </c>
      <c r="E152" s="4" t="str">
        <f>IF(D152="Random","RND",IF(LEN(D152)&gt;15,"Укоротить",IF(D152="Сим-карты","SIM",D152)))</f>
        <v>37052077867</v>
      </c>
      <c r="F152" s="4" t="s">
        <v>154</v>
      </c>
      <c r="G152" s="4" t="s">
        <v>46</v>
      </c>
      <c r="H152" s="6"/>
      <c r="I152" s="6" t="s">
        <v>107</v>
      </c>
      <c r="J152" s="4"/>
      <c r="K152" s="9" t="str">
        <f t="shared" si="17"/>
        <v>Литва/ИТМ/Miatel/37052077867@</v>
      </c>
      <c r="L152" s="4"/>
    </row>
    <row r="153" spans="1:12" ht="30" hidden="1" customHeight="1" x14ac:dyDescent="0.25">
      <c r="A153" s="3" t="s">
        <v>29</v>
      </c>
      <c r="B153" s="4" t="s">
        <v>120</v>
      </c>
      <c r="C153" s="4" t="s">
        <v>9</v>
      </c>
      <c r="D153" s="6" t="s">
        <v>376</v>
      </c>
      <c r="E153" s="4" t="s">
        <v>81</v>
      </c>
      <c r="F153" s="4" t="s">
        <v>375</v>
      </c>
      <c r="G153" s="4" t="s">
        <v>48</v>
      </c>
      <c r="H153" s="6"/>
      <c r="I153" s="6"/>
      <c r="J153" s="4"/>
      <c r="K153" s="9" t="str">
        <f t="shared" si="17"/>
        <v>Литва/Miatel/Pool_A@</v>
      </c>
      <c r="L153" s="4"/>
    </row>
    <row r="154" spans="1:12" ht="30" hidden="1" customHeight="1" x14ac:dyDescent="0.25">
      <c r="A154" s="3" t="s">
        <v>29</v>
      </c>
      <c r="B154" s="4" t="s">
        <v>120</v>
      </c>
      <c r="C154" s="4" t="s">
        <v>9</v>
      </c>
      <c r="D154" s="6" t="s">
        <v>45</v>
      </c>
      <c r="E154" s="4" t="str">
        <f>IF(D154="Random","RND",IF(LEN(D154)&gt;15,"Укоротить",IF(D154="Сим-карты","SIM",D154)))</f>
        <v>RND</v>
      </c>
      <c r="F154" s="4" t="s">
        <v>51</v>
      </c>
      <c r="G154" s="4" t="s">
        <v>46</v>
      </c>
      <c r="H154" s="6"/>
      <c r="I154" s="6"/>
      <c r="J154" s="4"/>
      <c r="K154" s="9" t="str">
        <f t="shared" si="17"/>
        <v>Литва/Miatel/RND@</v>
      </c>
      <c r="L154" s="4"/>
    </row>
    <row r="155" spans="1:12" ht="30" hidden="1" customHeight="1" x14ac:dyDescent="0.25">
      <c r="A155" s="3" t="s">
        <v>29</v>
      </c>
      <c r="B155" s="4" t="s">
        <v>120</v>
      </c>
      <c r="C155" s="4" t="s">
        <v>7</v>
      </c>
      <c r="D155" s="6" t="s">
        <v>305</v>
      </c>
      <c r="E155" s="4" t="s">
        <v>81</v>
      </c>
      <c r="F155" s="4" t="s">
        <v>304</v>
      </c>
      <c r="G155" s="4" t="s">
        <v>48</v>
      </c>
      <c r="H155" s="6" t="s">
        <v>12</v>
      </c>
      <c r="I155" s="6"/>
      <c r="J155" s="4"/>
      <c r="K155" s="9" t="str">
        <f t="shared" si="17"/>
        <v>Литва/Sancom/Pool_A/0789pfx@</v>
      </c>
      <c r="L155" s="4"/>
    </row>
    <row r="156" spans="1:12" ht="30" hidden="1" customHeight="1" x14ac:dyDescent="0.25">
      <c r="A156" s="3" t="s">
        <v>29</v>
      </c>
      <c r="B156" s="4" t="s">
        <v>120</v>
      </c>
      <c r="C156" s="4" t="s">
        <v>9</v>
      </c>
      <c r="D156" s="6" t="s">
        <v>334</v>
      </c>
      <c r="E156" s="4" t="s">
        <v>82</v>
      </c>
      <c r="F156" s="4" t="s">
        <v>335</v>
      </c>
      <c r="G156" s="4" t="s">
        <v>46</v>
      </c>
      <c r="H156" s="6"/>
      <c r="I156" s="6"/>
      <c r="J156" s="4"/>
      <c r="K156" s="9" t="str">
        <f t="shared" si="17"/>
        <v>Литва/Miatel/Pool_B@</v>
      </c>
      <c r="L156" s="4"/>
    </row>
    <row r="157" spans="1:12" ht="30" hidden="1" customHeight="1" x14ac:dyDescent="0.25">
      <c r="A157" s="3" t="s">
        <v>29</v>
      </c>
      <c r="B157" s="4" t="s">
        <v>120</v>
      </c>
      <c r="C157" s="4" t="s">
        <v>7</v>
      </c>
      <c r="D157" s="6" t="s">
        <v>45</v>
      </c>
      <c r="E157" s="4" t="str">
        <f t="shared" ref="E157:E189" si="18">IF(D157="Random","RND",IF(LEN(D157)&gt;15,"Укоротить",IF(D157="Сим-карты","SIM",D157)))</f>
        <v>RND</v>
      </c>
      <c r="F157" s="4" t="s">
        <v>51</v>
      </c>
      <c r="G157" s="4" t="s">
        <v>46</v>
      </c>
      <c r="H157" s="6" t="s">
        <v>12</v>
      </c>
      <c r="I157" s="6"/>
      <c r="J157" s="4" t="s">
        <v>88</v>
      </c>
      <c r="K157" s="9" t="str">
        <f t="shared" si="17"/>
        <v>Литва/Sancom/RND/0789pfx@</v>
      </c>
      <c r="L157" s="4"/>
    </row>
    <row r="158" spans="1:12" ht="30" hidden="1" customHeight="1" x14ac:dyDescent="0.25">
      <c r="A158" s="3" t="s">
        <v>101</v>
      </c>
      <c r="B158" s="4" t="s">
        <v>120</v>
      </c>
      <c r="C158" s="4" t="s">
        <v>9</v>
      </c>
      <c r="D158" s="6" t="s">
        <v>45</v>
      </c>
      <c r="E158" s="4" t="str">
        <f t="shared" si="18"/>
        <v>RND</v>
      </c>
      <c r="F158" s="4" t="s">
        <v>51</v>
      </c>
      <c r="G158" s="4" t="s">
        <v>46</v>
      </c>
      <c r="H158" s="6"/>
      <c r="I158" s="6"/>
      <c r="J158" s="4" t="s">
        <v>88</v>
      </c>
      <c r="K158" s="9" t="str">
        <f t="shared" si="17"/>
        <v>Люксембург/Miatel/RND@</v>
      </c>
      <c r="L158" s="4"/>
    </row>
    <row r="159" spans="1:12" ht="30" hidden="1" customHeight="1" x14ac:dyDescent="0.25">
      <c r="A159" s="3" t="s">
        <v>101</v>
      </c>
      <c r="B159" s="4" t="s">
        <v>120</v>
      </c>
      <c r="C159" s="4" t="s">
        <v>7</v>
      </c>
      <c r="D159" s="6" t="s">
        <v>45</v>
      </c>
      <c r="E159" s="4" t="str">
        <f t="shared" si="18"/>
        <v>RND</v>
      </c>
      <c r="F159" s="4" t="s">
        <v>51</v>
      </c>
      <c r="G159" s="4" t="s">
        <v>46</v>
      </c>
      <c r="H159" s="6" t="s">
        <v>12</v>
      </c>
      <c r="I159" s="6"/>
      <c r="J159" s="4" t="s">
        <v>88</v>
      </c>
      <c r="K159" s="9" t="str">
        <f t="shared" si="17"/>
        <v>Люксембург/Sancom/RND/0789pfx@</v>
      </c>
      <c r="L159" s="4"/>
    </row>
    <row r="160" spans="1:12" ht="30" hidden="1" customHeight="1" x14ac:dyDescent="0.25">
      <c r="A160" s="3" t="s">
        <v>30</v>
      </c>
      <c r="B160" s="4" t="s">
        <v>120</v>
      </c>
      <c r="C160" s="4" t="s">
        <v>9</v>
      </c>
      <c r="D160" s="6" t="s">
        <v>45</v>
      </c>
      <c r="E160" s="4" t="str">
        <f t="shared" si="18"/>
        <v>RND</v>
      </c>
      <c r="F160" s="4" t="s">
        <v>51</v>
      </c>
      <c r="G160" s="4" t="s">
        <v>46</v>
      </c>
      <c r="H160" s="6"/>
      <c r="I160" s="6"/>
      <c r="J160" s="4" t="s">
        <v>88</v>
      </c>
      <c r="K160" s="9" t="str">
        <f t="shared" si="17"/>
        <v>Македония/Miatel/RND@</v>
      </c>
      <c r="L160" s="4"/>
    </row>
    <row r="161" spans="1:12" ht="30" hidden="1" customHeight="1" x14ac:dyDescent="0.25">
      <c r="A161" s="3" t="s">
        <v>30</v>
      </c>
      <c r="B161" s="4" t="s">
        <v>120</v>
      </c>
      <c r="C161" s="4" t="s">
        <v>256</v>
      </c>
      <c r="D161" s="6" t="s">
        <v>50</v>
      </c>
      <c r="E161" s="4" t="str">
        <f t="shared" si="18"/>
        <v>SIM</v>
      </c>
      <c r="F161" s="4"/>
      <c r="G161" s="4" t="s">
        <v>46</v>
      </c>
      <c r="H161" s="6"/>
      <c r="I161" s="6"/>
      <c r="J161" s="4" t="s">
        <v>195</v>
      </c>
      <c r="K161" s="9" t="str">
        <f t="shared" si="17"/>
        <v>Македония/Шлюз1/SIM@</v>
      </c>
      <c r="L161" s="4"/>
    </row>
    <row r="162" spans="1:12" ht="30" hidden="1" customHeight="1" x14ac:dyDescent="0.25">
      <c r="A162" s="3" t="s">
        <v>30</v>
      </c>
      <c r="B162" s="4" t="s">
        <v>120</v>
      </c>
      <c r="C162" s="4" t="s">
        <v>257</v>
      </c>
      <c r="D162" s="6" t="s">
        <v>50</v>
      </c>
      <c r="E162" s="4" t="str">
        <f t="shared" si="18"/>
        <v>SIM</v>
      </c>
      <c r="F162" s="4"/>
      <c r="G162" s="4" t="s">
        <v>46</v>
      </c>
      <c r="H162" s="6"/>
      <c r="I162" s="6"/>
      <c r="J162" s="4" t="s">
        <v>196</v>
      </c>
      <c r="K162" s="9" t="str">
        <f t="shared" si="17"/>
        <v>Македония/Шлюз2/SIM@</v>
      </c>
      <c r="L162" s="4"/>
    </row>
    <row r="163" spans="1:12" ht="30" hidden="1" customHeight="1" x14ac:dyDescent="0.25">
      <c r="A163" s="3" t="s">
        <v>247</v>
      </c>
      <c r="B163" s="4" t="s">
        <v>120</v>
      </c>
      <c r="C163" s="4" t="s">
        <v>9</v>
      </c>
      <c r="D163" s="6" t="s">
        <v>45</v>
      </c>
      <c r="E163" s="4" t="str">
        <f t="shared" si="18"/>
        <v>RND</v>
      </c>
      <c r="F163" s="4" t="s">
        <v>51</v>
      </c>
      <c r="G163" s="4" t="s">
        <v>46</v>
      </c>
      <c r="H163" s="6"/>
      <c r="I163" s="6"/>
      <c r="J163" s="4" t="s">
        <v>88</v>
      </c>
      <c r="K163" s="9" t="str">
        <f t="shared" si="17"/>
        <v>Марокко/Miatel/RND@</v>
      </c>
      <c r="L163" s="4"/>
    </row>
    <row r="164" spans="1:12" ht="30" hidden="1" customHeight="1" x14ac:dyDescent="0.25">
      <c r="A164" s="3" t="s">
        <v>247</v>
      </c>
      <c r="B164" s="4" t="s">
        <v>120</v>
      </c>
      <c r="C164" s="4" t="s">
        <v>7</v>
      </c>
      <c r="D164" s="6" t="s">
        <v>45</v>
      </c>
      <c r="E164" s="4" t="str">
        <f t="shared" si="18"/>
        <v>RND</v>
      </c>
      <c r="F164" s="4" t="s">
        <v>51</v>
      </c>
      <c r="G164" s="4" t="s">
        <v>46</v>
      </c>
      <c r="H164" s="6" t="s">
        <v>12</v>
      </c>
      <c r="I164" s="6"/>
      <c r="J164" s="4" t="s">
        <v>248</v>
      </c>
      <c r="K164" s="9" t="str">
        <f t="shared" si="17"/>
        <v>Марокко/Sancom/RND/0789pfx@</v>
      </c>
      <c r="L164" s="4"/>
    </row>
    <row r="165" spans="1:12" ht="30" hidden="1" customHeight="1" x14ac:dyDescent="0.25">
      <c r="A165" s="3" t="s">
        <v>247</v>
      </c>
      <c r="B165" s="4" t="s">
        <v>120</v>
      </c>
      <c r="C165" s="4" t="s">
        <v>7</v>
      </c>
      <c r="D165" s="6" t="s">
        <v>45</v>
      </c>
      <c r="E165" s="4" t="str">
        <f t="shared" si="18"/>
        <v>RND</v>
      </c>
      <c r="F165" s="4" t="s">
        <v>51</v>
      </c>
      <c r="G165" s="4" t="s">
        <v>46</v>
      </c>
      <c r="H165" s="6" t="s">
        <v>16</v>
      </c>
      <c r="I165" s="6"/>
      <c r="J165" s="4" t="s">
        <v>88</v>
      </c>
      <c r="K165" s="9" t="str">
        <f t="shared" si="17"/>
        <v>Марокко/Sancom/RND/0827pfx@</v>
      </c>
      <c r="L165" s="4"/>
    </row>
    <row r="166" spans="1:12" ht="30" hidden="1" customHeight="1" x14ac:dyDescent="0.25">
      <c r="A166" s="3" t="s">
        <v>247</v>
      </c>
      <c r="B166" s="4" t="s">
        <v>120</v>
      </c>
      <c r="C166" s="4" t="s">
        <v>8</v>
      </c>
      <c r="D166" s="6" t="s">
        <v>45</v>
      </c>
      <c r="E166" s="4" t="str">
        <f t="shared" si="18"/>
        <v>RND</v>
      </c>
      <c r="F166" s="4" t="s">
        <v>51</v>
      </c>
      <c r="G166" s="4" t="s">
        <v>46</v>
      </c>
      <c r="H166" s="6"/>
      <c r="I166" s="6"/>
      <c r="J166" s="4" t="s">
        <v>88</v>
      </c>
      <c r="K166" s="9" t="str">
        <f t="shared" si="17"/>
        <v>Марокко/Zorra/RND@</v>
      </c>
      <c r="L166" s="4"/>
    </row>
    <row r="167" spans="1:12" ht="30" hidden="1" customHeight="1" x14ac:dyDescent="0.25">
      <c r="A167" s="3" t="s">
        <v>247</v>
      </c>
      <c r="B167" s="4" t="s">
        <v>120</v>
      </c>
      <c r="C167" s="4" t="s">
        <v>11</v>
      </c>
      <c r="D167" s="6" t="s">
        <v>50</v>
      </c>
      <c r="E167" s="4" t="str">
        <f t="shared" si="18"/>
        <v>SIM</v>
      </c>
      <c r="F167" s="4"/>
      <c r="G167" s="4"/>
      <c r="H167" s="6"/>
      <c r="I167" s="6"/>
      <c r="J167" s="4"/>
      <c r="K167" s="9" t="str">
        <f t="shared" si="17"/>
        <v>Марокко/Шлюз/SIM@</v>
      </c>
      <c r="L167" s="4"/>
    </row>
    <row r="168" spans="1:12" ht="30" hidden="1" customHeight="1" x14ac:dyDescent="0.25">
      <c r="A168" s="3" t="s">
        <v>31</v>
      </c>
      <c r="B168" s="4" t="s">
        <v>120</v>
      </c>
      <c r="C168" s="4" t="s">
        <v>197</v>
      </c>
      <c r="D168" s="6" t="s">
        <v>45</v>
      </c>
      <c r="E168" s="4" t="str">
        <f t="shared" si="18"/>
        <v>RND</v>
      </c>
      <c r="F168" s="4" t="s">
        <v>51</v>
      </c>
      <c r="G168" s="4" t="s">
        <v>46</v>
      </c>
      <c r="H168" s="6" t="s">
        <v>96</v>
      </c>
      <c r="I168" s="6"/>
      <c r="J168" s="4" t="s">
        <v>88</v>
      </c>
      <c r="K168" s="9" t="str">
        <f t="shared" si="17"/>
        <v>Мексика/VoIPPro/RND/00001pfx@</v>
      </c>
      <c r="L168" s="4" t="s">
        <v>265</v>
      </c>
    </row>
    <row r="169" spans="1:12" ht="30" hidden="1" customHeight="1" x14ac:dyDescent="0.25">
      <c r="A169" s="3" t="s">
        <v>31</v>
      </c>
      <c r="B169" s="4" t="s">
        <v>120</v>
      </c>
      <c r="C169" s="4" t="s">
        <v>197</v>
      </c>
      <c r="D169" s="6" t="s">
        <v>45</v>
      </c>
      <c r="E169" s="4" t="str">
        <f t="shared" si="18"/>
        <v>RND</v>
      </c>
      <c r="F169" s="4" t="s">
        <v>51</v>
      </c>
      <c r="G169" s="4" t="s">
        <v>46</v>
      </c>
      <c r="H169" s="6" t="s">
        <v>98</v>
      </c>
      <c r="I169" s="6"/>
      <c r="J169" s="4" t="s">
        <v>88</v>
      </c>
      <c r="K169" s="9" t="str">
        <f t="shared" si="17"/>
        <v>Мексика/VoIPPro/RND/00pfx@</v>
      </c>
      <c r="L169" s="4" t="s">
        <v>266</v>
      </c>
    </row>
    <row r="170" spans="1:12" ht="30" hidden="1" customHeight="1" x14ac:dyDescent="0.25">
      <c r="A170" s="3" t="s">
        <v>31</v>
      </c>
      <c r="B170" s="4" t="s">
        <v>120</v>
      </c>
      <c r="C170" s="4" t="s">
        <v>197</v>
      </c>
      <c r="D170" s="6" t="s">
        <v>45</v>
      </c>
      <c r="E170" s="4" t="str">
        <f t="shared" si="18"/>
        <v>RND</v>
      </c>
      <c r="F170" s="4" t="s">
        <v>51</v>
      </c>
      <c r="G170" s="4" t="s">
        <v>46</v>
      </c>
      <c r="H170" s="6" t="s">
        <v>97</v>
      </c>
      <c r="I170" s="6"/>
      <c r="J170" s="4" t="s">
        <v>88</v>
      </c>
      <c r="K170" s="9" t="str">
        <f t="shared" si="17"/>
        <v>Мексика/VoIPPro/RND/00000pfx@</v>
      </c>
      <c r="L170" s="4" t="s">
        <v>267</v>
      </c>
    </row>
    <row r="171" spans="1:12" ht="30" hidden="1" customHeight="1" x14ac:dyDescent="0.25">
      <c r="A171" s="3" t="s">
        <v>31</v>
      </c>
      <c r="B171" s="4" t="s">
        <v>120</v>
      </c>
      <c r="C171" s="4" t="s">
        <v>10</v>
      </c>
      <c r="D171" s="6" t="s">
        <v>45</v>
      </c>
      <c r="E171" s="4" t="str">
        <f t="shared" si="18"/>
        <v>RND</v>
      </c>
      <c r="F171" s="4" t="s">
        <v>51</v>
      </c>
      <c r="G171" s="4" t="s">
        <v>46</v>
      </c>
      <c r="H171" s="6"/>
      <c r="I171" s="6"/>
      <c r="J171" s="4" t="s">
        <v>88</v>
      </c>
      <c r="K171" s="9" t="str">
        <f t="shared" si="17"/>
        <v>Мексика/Inftele/RND@</v>
      </c>
      <c r="L171" s="4"/>
    </row>
    <row r="172" spans="1:12" ht="30" hidden="1" customHeight="1" x14ac:dyDescent="0.25">
      <c r="A172" s="3" t="s">
        <v>31</v>
      </c>
      <c r="B172" s="4" t="s">
        <v>120</v>
      </c>
      <c r="C172" s="4" t="s">
        <v>9</v>
      </c>
      <c r="D172" s="6" t="s">
        <v>45</v>
      </c>
      <c r="E172" s="4" t="str">
        <f t="shared" si="18"/>
        <v>RND</v>
      </c>
      <c r="F172" s="4" t="s">
        <v>51</v>
      </c>
      <c r="G172" s="4" t="s">
        <v>46</v>
      </c>
      <c r="H172" s="6"/>
      <c r="I172" s="6"/>
      <c r="J172" s="4" t="s">
        <v>88</v>
      </c>
      <c r="K172" s="9" t="str">
        <f t="shared" si="17"/>
        <v>Мексика/Miatel/RND@</v>
      </c>
      <c r="L172" s="4"/>
    </row>
    <row r="173" spans="1:12" ht="30" hidden="1" customHeight="1" x14ac:dyDescent="0.25">
      <c r="A173" s="3" t="s">
        <v>31</v>
      </c>
      <c r="B173" s="4" t="s">
        <v>120</v>
      </c>
      <c r="C173" s="4" t="s">
        <v>9</v>
      </c>
      <c r="D173" s="6" t="s">
        <v>45</v>
      </c>
      <c r="E173" s="4" t="str">
        <f t="shared" si="18"/>
        <v>RND</v>
      </c>
      <c r="F173" s="4" t="s">
        <v>179</v>
      </c>
      <c r="G173" s="4" t="s">
        <v>46</v>
      </c>
      <c r="H173" s="6" t="s">
        <v>158</v>
      </c>
      <c r="I173" s="6"/>
      <c r="J173" s="4" t="s">
        <v>178</v>
      </c>
      <c r="K173" s="9" t="str">
        <f t="shared" si="17"/>
        <v>Мексика/Miatel/RND/0333pfx@</v>
      </c>
      <c r="L173" s="4"/>
    </row>
    <row r="174" spans="1:12" ht="30" hidden="1" customHeight="1" x14ac:dyDescent="0.25">
      <c r="A174" s="3" t="s">
        <v>31</v>
      </c>
      <c r="B174" s="4" t="s">
        <v>120</v>
      </c>
      <c r="C174" s="4" t="s">
        <v>7</v>
      </c>
      <c r="D174" s="6" t="s">
        <v>45</v>
      </c>
      <c r="E174" s="4" t="str">
        <f t="shared" si="18"/>
        <v>RND</v>
      </c>
      <c r="F174" s="4" t="s">
        <v>51</v>
      </c>
      <c r="G174" s="4" t="s">
        <v>46</v>
      </c>
      <c r="H174" s="6" t="s">
        <v>16</v>
      </c>
      <c r="I174" s="6"/>
      <c r="J174" s="4" t="s">
        <v>88</v>
      </c>
      <c r="K174" s="9" t="str">
        <f t="shared" si="17"/>
        <v>Мексика/Sancom/RND/0827pfx@</v>
      </c>
      <c r="L174" s="4"/>
    </row>
    <row r="175" spans="1:12" ht="30" hidden="1" customHeight="1" x14ac:dyDescent="0.25">
      <c r="A175" s="3" t="s">
        <v>31</v>
      </c>
      <c r="B175" s="4" t="s">
        <v>120</v>
      </c>
      <c r="C175" s="4" t="s">
        <v>7</v>
      </c>
      <c r="D175" s="6" t="s">
        <v>45</v>
      </c>
      <c r="E175" s="4" t="str">
        <f t="shared" si="18"/>
        <v>RND</v>
      </c>
      <c r="F175" s="4" t="s">
        <v>187</v>
      </c>
      <c r="G175" s="4" t="s">
        <v>46</v>
      </c>
      <c r="H175" s="6" t="s">
        <v>12</v>
      </c>
      <c r="I175" s="6"/>
      <c r="J175" s="4" t="s">
        <v>178</v>
      </c>
      <c r="K175" s="9" t="str">
        <f t="shared" si="17"/>
        <v>Мексика/Sancom/RND/0789pfx@</v>
      </c>
      <c r="L175" s="4"/>
    </row>
    <row r="176" spans="1:12" ht="30" hidden="1" customHeight="1" x14ac:dyDescent="0.25">
      <c r="A176" s="3" t="s">
        <v>31</v>
      </c>
      <c r="B176" s="4" t="s">
        <v>120</v>
      </c>
      <c r="C176" s="4" t="s">
        <v>7</v>
      </c>
      <c r="D176" s="6" t="s">
        <v>45</v>
      </c>
      <c r="E176" s="4" t="str">
        <f t="shared" si="18"/>
        <v>RND</v>
      </c>
      <c r="F176" s="4" t="s">
        <v>51</v>
      </c>
      <c r="G176" s="4" t="s">
        <v>46</v>
      </c>
      <c r="H176" s="6" t="s">
        <v>13</v>
      </c>
      <c r="I176" s="6"/>
      <c r="J176" s="4" t="s">
        <v>88</v>
      </c>
      <c r="K176" s="9" t="str">
        <f t="shared" si="17"/>
        <v>Мексика/Sancom/RND/0792pfx@</v>
      </c>
      <c r="L176" s="4"/>
    </row>
    <row r="177" spans="1:12" ht="30" hidden="1" customHeight="1" x14ac:dyDescent="0.25">
      <c r="A177" s="3" t="s">
        <v>31</v>
      </c>
      <c r="B177" s="4" t="s">
        <v>120</v>
      </c>
      <c r="C177" s="4" t="s">
        <v>11</v>
      </c>
      <c r="D177" s="6" t="s">
        <v>50</v>
      </c>
      <c r="E177" s="4" t="str">
        <f t="shared" si="18"/>
        <v>SIM</v>
      </c>
      <c r="F177" s="4"/>
      <c r="G177" s="4"/>
      <c r="H177" s="6"/>
      <c r="I177" s="6"/>
      <c r="J177" s="4"/>
      <c r="K177" s="9" t="str">
        <f t="shared" si="17"/>
        <v>Мексика/Шлюз/SIM@</v>
      </c>
      <c r="L177" s="4"/>
    </row>
    <row r="178" spans="1:12" ht="30" hidden="1" customHeight="1" x14ac:dyDescent="0.25">
      <c r="A178" s="3" t="s">
        <v>31</v>
      </c>
      <c r="B178" s="4" t="s">
        <v>120</v>
      </c>
      <c r="C178" s="4" t="s">
        <v>280</v>
      </c>
      <c r="D178" s="6" t="s">
        <v>45</v>
      </c>
      <c r="E178" s="4" t="str">
        <f t="shared" si="18"/>
        <v>RND</v>
      </c>
      <c r="F178" s="4" t="s">
        <v>51</v>
      </c>
      <c r="G178" s="4" t="s">
        <v>46</v>
      </c>
      <c r="H178" s="6"/>
      <c r="I178" s="6"/>
      <c r="J178" s="4" t="s">
        <v>88</v>
      </c>
      <c r="K178" s="9" t="str">
        <f t="shared" si="17"/>
        <v>Мексика/UniTalk/RND@</v>
      </c>
      <c r="L178" s="4"/>
    </row>
    <row r="179" spans="1:12" ht="30" hidden="1" customHeight="1" x14ac:dyDescent="0.25">
      <c r="A179" s="3" t="s">
        <v>31</v>
      </c>
      <c r="B179" s="4" t="s">
        <v>120</v>
      </c>
      <c r="C179" s="4" t="s">
        <v>8</v>
      </c>
      <c r="D179" s="6" t="s">
        <v>45</v>
      </c>
      <c r="E179" s="4" t="str">
        <f t="shared" si="18"/>
        <v>RND</v>
      </c>
      <c r="F179" s="4" t="s">
        <v>51</v>
      </c>
      <c r="G179" s="4" t="s">
        <v>46</v>
      </c>
      <c r="H179" s="6"/>
      <c r="I179" s="6"/>
      <c r="J179" s="4" t="s">
        <v>88</v>
      </c>
      <c r="K179" s="9" t="str">
        <f t="shared" si="17"/>
        <v>Мексика/Zorra/RND@</v>
      </c>
      <c r="L179" s="4"/>
    </row>
    <row r="180" spans="1:12" ht="30" hidden="1" customHeight="1" x14ac:dyDescent="0.25">
      <c r="A180" s="3" t="s">
        <v>174</v>
      </c>
      <c r="B180" s="4" t="s">
        <v>120</v>
      </c>
      <c r="C180" s="4" t="s">
        <v>9</v>
      </c>
      <c r="D180" s="6" t="s">
        <v>45</v>
      </c>
      <c r="E180" s="4" t="str">
        <f t="shared" si="18"/>
        <v>RND</v>
      </c>
      <c r="F180" s="4" t="s">
        <v>51</v>
      </c>
      <c r="G180" s="4" t="s">
        <v>46</v>
      </c>
      <c r="H180" s="6"/>
      <c r="I180" s="6"/>
      <c r="J180" s="4" t="s">
        <v>88</v>
      </c>
      <c r="K180" s="9" t="str">
        <f t="shared" si="17"/>
        <v>Нигерия/Miatel/RND@</v>
      </c>
      <c r="L180" s="4"/>
    </row>
    <row r="181" spans="1:12" ht="30" hidden="1" customHeight="1" x14ac:dyDescent="0.25">
      <c r="A181" s="3" t="s">
        <v>174</v>
      </c>
      <c r="B181" s="4" t="s">
        <v>120</v>
      </c>
      <c r="C181" s="4" t="s">
        <v>7</v>
      </c>
      <c r="D181" s="6" t="s">
        <v>45</v>
      </c>
      <c r="E181" s="4" t="str">
        <f t="shared" si="18"/>
        <v>RND</v>
      </c>
      <c r="F181" s="4" t="s">
        <v>51</v>
      </c>
      <c r="G181" s="4" t="s">
        <v>46</v>
      </c>
      <c r="H181" s="6" t="s">
        <v>16</v>
      </c>
      <c r="I181" s="6"/>
      <c r="J181" s="4" t="s">
        <v>88</v>
      </c>
      <c r="K181" s="9" t="str">
        <f t="shared" si="17"/>
        <v>Нигерия/Sancom/RND/0827pfx@</v>
      </c>
      <c r="L181" s="4"/>
    </row>
    <row r="182" spans="1:12" ht="30" hidden="1" customHeight="1" x14ac:dyDescent="0.25">
      <c r="A182" s="3" t="s">
        <v>174</v>
      </c>
      <c r="B182" s="4" t="s">
        <v>120</v>
      </c>
      <c r="C182" s="4" t="s">
        <v>8</v>
      </c>
      <c r="D182" s="6" t="s">
        <v>45</v>
      </c>
      <c r="E182" s="4" t="str">
        <f t="shared" si="18"/>
        <v>RND</v>
      </c>
      <c r="F182" s="4" t="s">
        <v>51</v>
      </c>
      <c r="G182" s="4" t="s">
        <v>46</v>
      </c>
      <c r="H182" s="6"/>
      <c r="I182" s="6"/>
      <c r="J182" s="4" t="s">
        <v>88</v>
      </c>
      <c r="K182" s="9" t="str">
        <f t="shared" si="17"/>
        <v>Нигерия/Zorra/RND@</v>
      </c>
      <c r="L182" s="4"/>
    </row>
    <row r="183" spans="1:12" ht="30" hidden="1" customHeight="1" x14ac:dyDescent="0.25">
      <c r="A183" s="3" t="s">
        <v>100</v>
      </c>
      <c r="B183" s="4" t="s">
        <v>120</v>
      </c>
      <c r="C183" s="4" t="s">
        <v>9</v>
      </c>
      <c r="D183" s="6" t="s">
        <v>45</v>
      </c>
      <c r="E183" s="4" t="str">
        <f t="shared" si="18"/>
        <v>RND</v>
      </c>
      <c r="F183" s="4" t="s">
        <v>51</v>
      </c>
      <c r="G183" s="4" t="s">
        <v>46</v>
      </c>
      <c r="H183" s="6"/>
      <c r="I183" s="6"/>
      <c r="J183" s="4" t="s">
        <v>88</v>
      </c>
      <c r="K183" s="9" t="str">
        <f t="shared" si="17"/>
        <v>Нидерланды/Miatel/RND@</v>
      </c>
      <c r="L183" s="4"/>
    </row>
    <row r="184" spans="1:12" ht="30" hidden="1" customHeight="1" x14ac:dyDescent="0.25">
      <c r="A184" s="3" t="s">
        <v>100</v>
      </c>
      <c r="B184" s="4" t="s">
        <v>120</v>
      </c>
      <c r="C184" s="4" t="s">
        <v>7</v>
      </c>
      <c r="D184" s="6" t="s">
        <v>45</v>
      </c>
      <c r="E184" s="4" t="str">
        <f t="shared" si="18"/>
        <v>RND</v>
      </c>
      <c r="F184" s="4" t="s">
        <v>51</v>
      </c>
      <c r="G184" s="4" t="s">
        <v>46</v>
      </c>
      <c r="H184" s="6" t="s">
        <v>12</v>
      </c>
      <c r="I184" s="6"/>
      <c r="J184" s="4" t="s">
        <v>88</v>
      </c>
      <c r="K184" s="9" t="str">
        <f t="shared" si="17"/>
        <v>Нидерланды/Sancom/RND/0789pfx@</v>
      </c>
      <c r="L184" s="4"/>
    </row>
    <row r="185" spans="1:12" ht="30" hidden="1" customHeight="1" x14ac:dyDescent="0.25">
      <c r="A185" s="3" t="s">
        <v>328</v>
      </c>
      <c r="B185" s="4" t="s">
        <v>120</v>
      </c>
      <c r="C185" s="4" t="s">
        <v>9</v>
      </c>
      <c r="D185" s="6" t="s">
        <v>45</v>
      </c>
      <c r="E185" s="4" t="str">
        <f t="shared" si="18"/>
        <v>RND</v>
      </c>
      <c r="F185" s="4" t="s">
        <v>51</v>
      </c>
      <c r="G185" s="4" t="s">
        <v>46</v>
      </c>
      <c r="H185" s="6"/>
      <c r="I185" s="6"/>
      <c r="J185" s="4" t="s">
        <v>88</v>
      </c>
      <c r="K185" s="9" t="str">
        <f t="shared" si="17"/>
        <v>Никарагуа/Miatel/RND@</v>
      </c>
      <c r="L185" s="4"/>
    </row>
    <row r="186" spans="1:12" ht="30" hidden="1" customHeight="1" x14ac:dyDescent="0.25">
      <c r="A186" s="3" t="s">
        <v>328</v>
      </c>
      <c r="B186" s="4" t="s">
        <v>120</v>
      </c>
      <c r="C186" s="4" t="s">
        <v>8</v>
      </c>
      <c r="D186" s="6" t="s">
        <v>45</v>
      </c>
      <c r="E186" s="4" t="str">
        <f t="shared" si="18"/>
        <v>RND</v>
      </c>
      <c r="F186" s="4" t="s">
        <v>51</v>
      </c>
      <c r="G186" s="4" t="s">
        <v>46</v>
      </c>
      <c r="H186" s="6"/>
      <c r="I186" s="6"/>
      <c r="J186" s="4" t="s">
        <v>88</v>
      </c>
      <c r="K186" s="9" t="str">
        <f t="shared" si="17"/>
        <v>Никарагуа/Zorra/RND@</v>
      </c>
      <c r="L186" s="4"/>
    </row>
    <row r="187" spans="1:12" ht="30" hidden="1" customHeight="1" x14ac:dyDescent="0.25">
      <c r="A187" s="3" t="s">
        <v>328</v>
      </c>
      <c r="B187" s="4" t="s">
        <v>120</v>
      </c>
      <c r="C187" s="4" t="s">
        <v>368</v>
      </c>
      <c r="D187" s="6" t="s">
        <v>45</v>
      </c>
      <c r="E187" s="4" t="str">
        <f t="shared" ref="E187" si="19">IF(D187="Random","RND",IF(LEN(D187)&gt;15,"Укоротить",IF(D187="Сим-карты","SIM",D187)))</f>
        <v>RND</v>
      </c>
      <c r="F187" s="4" t="s">
        <v>51</v>
      </c>
      <c r="G187" s="4" t="s">
        <v>46</v>
      </c>
      <c r="H187" s="6"/>
      <c r="I187" s="6"/>
      <c r="J187" s="4" t="s">
        <v>88</v>
      </c>
      <c r="K187" s="9" t="str">
        <f t="shared" ref="K187" si="20">IF(OR(E187="Укоротить",E187=0),"Нет номера",A187&amp;IF(ISBLANK(I187),"",$K$3&amp;I187)&amp;$K$3&amp;C187&amp;$K$3&amp;E187&amp;IF(ISBLANK(H187),"",$K$3&amp;H187&amp;"pfx")&amp;"@")</f>
        <v>Никарагуа/AOneVoip/RND@</v>
      </c>
      <c r="L187" s="26"/>
    </row>
    <row r="188" spans="1:12" ht="30" hidden="1" customHeight="1" x14ac:dyDescent="0.25">
      <c r="A188" s="3" t="s">
        <v>328</v>
      </c>
      <c r="B188" s="4" t="s">
        <v>120</v>
      </c>
      <c r="C188" s="4" t="s">
        <v>7</v>
      </c>
      <c r="D188" s="6" t="s">
        <v>45</v>
      </c>
      <c r="E188" s="4" t="str">
        <f t="shared" si="18"/>
        <v>RND</v>
      </c>
      <c r="F188" s="4" t="s">
        <v>51</v>
      </c>
      <c r="G188" s="4" t="s">
        <v>46</v>
      </c>
      <c r="H188" s="6" t="s">
        <v>12</v>
      </c>
      <c r="I188" s="6"/>
      <c r="J188" s="4" t="s">
        <v>88</v>
      </c>
      <c r="K188" s="9" t="str">
        <f t="shared" si="17"/>
        <v>Никарагуа/Sancom/RND/0789pfx@</v>
      </c>
      <c r="L188" s="4"/>
    </row>
    <row r="189" spans="1:12" ht="30" hidden="1" customHeight="1" x14ac:dyDescent="0.25">
      <c r="A189" s="3" t="s">
        <v>219</v>
      </c>
      <c r="B189" s="4" t="s">
        <v>120</v>
      </c>
      <c r="C189" s="4" t="s">
        <v>9</v>
      </c>
      <c r="D189" s="6" t="s">
        <v>45</v>
      </c>
      <c r="E189" s="4" t="str">
        <f t="shared" si="18"/>
        <v>RND</v>
      </c>
      <c r="F189" s="4" t="s">
        <v>51</v>
      </c>
      <c r="G189" s="4" t="s">
        <v>46</v>
      </c>
      <c r="H189" s="6"/>
      <c r="I189" s="6"/>
      <c r="J189" s="4" t="s">
        <v>89</v>
      </c>
      <c r="K189" s="9" t="str">
        <f t="shared" si="17"/>
        <v>ОАЭ/Miatel/RND@</v>
      </c>
      <c r="L189" s="4"/>
    </row>
    <row r="190" spans="1:12" ht="30" hidden="1" customHeight="1" x14ac:dyDescent="0.25">
      <c r="A190" s="3" t="s">
        <v>219</v>
      </c>
      <c r="B190" s="4" t="s">
        <v>120</v>
      </c>
      <c r="C190" s="4" t="s">
        <v>7</v>
      </c>
      <c r="D190" s="6" t="s">
        <v>45</v>
      </c>
      <c r="E190" s="4" t="str">
        <f t="shared" ref="E190:E214" si="21">IF(D190="Random","RND",IF(LEN(D190)&gt;15,"Укоротить",IF(D190="Сим-карты","SIM",D190)))</f>
        <v>RND</v>
      </c>
      <c r="F190" s="4" t="s">
        <v>51</v>
      </c>
      <c r="G190" s="4" t="s">
        <v>46</v>
      </c>
      <c r="H190" s="6" t="s">
        <v>12</v>
      </c>
      <c r="I190" s="6"/>
      <c r="J190" s="4" t="s">
        <v>89</v>
      </c>
      <c r="K190" s="9" t="str">
        <f t="shared" si="17"/>
        <v>ОАЭ/Sancom/RND/0789pfx@</v>
      </c>
      <c r="L190" s="4"/>
    </row>
    <row r="191" spans="1:12" ht="30" hidden="1" customHeight="1" x14ac:dyDescent="0.25">
      <c r="A191" s="3" t="s">
        <v>219</v>
      </c>
      <c r="B191" s="4" t="s">
        <v>120</v>
      </c>
      <c r="C191" s="4" t="s">
        <v>8</v>
      </c>
      <c r="D191" s="6" t="s">
        <v>45</v>
      </c>
      <c r="E191" s="4" t="str">
        <f t="shared" si="21"/>
        <v>RND</v>
      </c>
      <c r="F191" s="4" t="s">
        <v>51</v>
      </c>
      <c r="G191" s="4" t="s">
        <v>46</v>
      </c>
      <c r="H191" s="6"/>
      <c r="I191" s="6"/>
      <c r="J191" s="4" t="s">
        <v>89</v>
      </c>
      <c r="K191" s="9" t="str">
        <f t="shared" si="17"/>
        <v>ОАЭ/Zorra/RND@</v>
      </c>
      <c r="L191" s="4"/>
    </row>
    <row r="192" spans="1:12" ht="30" hidden="1" customHeight="1" x14ac:dyDescent="0.25">
      <c r="A192" s="3" t="s">
        <v>246</v>
      </c>
      <c r="B192" s="4" t="s">
        <v>120</v>
      </c>
      <c r="C192" s="4" t="s">
        <v>9</v>
      </c>
      <c r="D192" s="6" t="s">
        <v>45</v>
      </c>
      <c r="E192" s="4" t="str">
        <f t="shared" si="21"/>
        <v>RND</v>
      </c>
      <c r="F192" s="4" t="s">
        <v>51</v>
      </c>
      <c r="G192" s="4" t="s">
        <v>46</v>
      </c>
      <c r="H192" s="6"/>
      <c r="I192" s="6"/>
      <c r="J192" s="4" t="s">
        <v>88</v>
      </c>
      <c r="K192" s="9" t="str">
        <f t="shared" si="17"/>
        <v>Пакистан/Miatel/RND@</v>
      </c>
      <c r="L192" s="4"/>
    </row>
    <row r="193" spans="1:12" ht="30" hidden="1" customHeight="1" x14ac:dyDescent="0.25">
      <c r="A193" s="3" t="s">
        <v>246</v>
      </c>
      <c r="B193" s="4" t="s">
        <v>120</v>
      </c>
      <c r="C193" s="4" t="s">
        <v>7</v>
      </c>
      <c r="D193" s="6" t="s">
        <v>45</v>
      </c>
      <c r="E193" s="4" t="str">
        <f t="shared" si="21"/>
        <v>RND</v>
      </c>
      <c r="F193" s="4" t="s">
        <v>51</v>
      </c>
      <c r="G193" s="4" t="s">
        <v>46</v>
      </c>
      <c r="H193" s="6" t="s">
        <v>12</v>
      </c>
      <c r="I193" s="6"/>
      <c r="J193" s="4" t="s">
        <v>88</v>
      </c>
      <c r="K193" s="9" t="str">
        <f t="shared" si="17"/>
        <v>Пакистан/Sancom/RND/0789pfx@</v>
      </c>
      <c r="L193" s="4"/>
    </row>
    <row r="194" spans="1:12" ht="30" hidden="1" customHeight="1" x14ac:dyDescent="0.25">
      <c r="A194" s="3" t="s">
        <v>246</v>
      </c>
      <c r="B194" s="4" t="s">
        <v>120</v>
      </c>
      <c r="C194" s="4" t="s">
        <v>8</v>
      </c>
      <c r="D194" s="6" t="s">
        <v>45</v>
      </c>
      <c r="E194" s="4" t="str">
        <f t="shared" si="21"/>
        <v>RND</v>
      </c>
      <c r="F194" s="4" t="s">
        <v>51</v>
      </c>
      <c r="G194" s="4" t="s">
        <v>46</v>
      </c>
      <c r="H194" s="6"/>
      <c r="I194" s="6"/>
      <c r="J194" s="4" t="s">
        <v>88</v>
      </c>
      <c r="K194" s="9" t="str">
        <f t="shared" si="17"/>
        <v>Пакистан/Zorra/RND@</v>
      </c>
      <c r="L194" s="4"/>
    </row>
    <row r="195" spans="1:12" ht="30" hidden="1" customHeight="1" x14ac:dyDescent="0.25">
      <c r="A195" s="3" t="s">
        <v>175</v>
      </c>
      <c r="B195" s="4" t="s">
        <v>120</v>
      </c>
      <c r="C195" s="4" t="s">
        <v>9</v>
      </c>
      <c r="D195" s="6" t="s">
        <v>45</v>
      </c>
      <c r="E195" s="4" t="str">
        <f t="shared" si="21"/>
        <v>RND</v>
      </c>
      <c r="F195" s="4" t="s">
        <v>51</v>
      </c>
      <c r="G195" s="4" t="s">
        <v>46</v>
      </c>
      <c r="H195" s="6"/>
      <c r="I195" s="6"/>
      <c r="J195" s="4" t="s">
        <v>88</v>
      </c>
      <c r="K195" s="9" t="str">
        <f t="shared" si="17"/>
        <v>Панама/Miatel/RND@</v>
      </c>
      <c r="L195" s="4"/>
    </row>
    <row r="196" spans="1:12" ht="30" hidden="1" customHeight="1" x14ac:dyDescent="0.25">
      <c r="A196" s="3" t="s">
        <v>175</v>
      </c>
      <c r="B196" s="4" t="s">
        <v>120</v>
      </c>
      <c r="C196" s="4" t="s">
        <v>7</v>
      </c>
      <c r="D196" s="6" t="s">
        <v>45</v>
      </c>
      <c r="E196" s="4" t="str">
        <f t="shared" si="21"/>
        <v>RND</v>
      </c>
      <c r="F196" s="4" t="s">
        <v>51</v>
      </c>
      <c r="G196" s="4" t="s">
        <v>46</v>
      </c>
      <c r="H196" s="6" t="s">
        <v>16</v>
      </c>
      <c r="I196" s="6"/>
      <c r="J196" s="4" t="s">
        <v>88</v>
      </c>
      <c r="K196" s="9" t="str">
        <f t="shared" si="17"/>
        <v>Панама/Sancom/RND/0827pfx@</v>
      </c>
      <c r="L196" s="4"/>
    </row>
    <row r="197" spans="1:12" ht="30" hidden="1" customHeight="1" x14ac:dyDescent="0.25">
      <c r="A197" s="3" t="s">
        <v>175</v>
      </c>
      <c r="B197" s="4" t="s">
        <v>120</v>
      </c>
      <c r="C197" s="4" t="s">
        <v>8</v>
      </c>
      <c r="D197" s="6" t="s">
        <v>45</v>
      </c>
      <c r="E197" s="4" t="str">
        <f t="shared" si="21"/>
        <v>RND</v>
      </c>
      <c r="F197" s="4" t="s">
        <v>51</v>
      </c>
      <c r="G197" s="4" t="s">
        <v>46</v>
      </c>
      <c r="H197" s="6"/>
      <c r="I197" s="6"/>
      <c r="J197" s="4" t="s">
        <v>88</v>
      </c>
      <c r="K197" s="9" t="str">
        <f t="shared" si="17"/>
        <v>Панама/Zorra/RND@</v>
      </c>
      <c r="L197" s="4"/>
    </row>
    <row r="198" spans="1:12" ht="30" hidden="1" customHeight="1" x14ac:dyDescent="0.25">
      <c r="A198" s="3" t="s">
        <v>279</v>
      </c>
      <c r="B198" s="4" t="s">
        <v>120</v>
      </c>
      <c r="C198" s="4" t="s">
        <v>9</v>
      </c>
      <c r="D198" s="6" t="s">
        <v>45</v>
      </c>
      <c r="E198" s="4" t="str">
        <f t="shared" si="21"/>
        <v>RND</v>
      </c>
      <c r="F198" s="4" t="s">
        <v>51</v>
      </c>
      <c r="G198" s="4" t="s">
        <v>46</v>
      </c>
      <c r="H198" s="6"/>
      <c r="I198" s="6"/>
      <c r="J198" s="4" t="s">
        <v>88</v>
      </c>
      <c r="K198" s="9" t="str">
        <f t="shared" si="17"/>
        <v>Парагвай/Miatel/RND@</v>
      </c>
      <c r="L198" s="4"/>
    </row>
    <row r="199" spans="1:12" ht="30" hidden="1" customHeight="1" x14ac:dyDescent="0.25">
      <c r="A199" s="3" t="s">
        <v>279</v>
      </c>
      <c r="B199" s="4" t="s">
        <v>120</v>
      </c>
      <c r="C199" s="4" t="s">
        <v>7</v>
      </c>
      <c r="D199" s="6" t="s">
        <v>45</v>
      </c>
      <c r="E199" s="4" t="str">
        <f t="shared" si="21"/>
        <v>RND</v>
      </c>
      <c r="F199" s="4" t="s">
        <v>51</v>
      </c>
      <c r="G199" s="4" t="s">
        <v>46</v>
      </c>
      <c r="H199" s="6" t="s">
        <v>16</v>
      </c>
      <c r="I199" s="6"/>
      <c r="J199" s="4" t="s">
        <v>88</v>
      </c>
      <c r="K199" s="9" t="str">
        <f t="shared" si="17"/>
        <v>Парагвай/Sancom/RND/0827pfx@</v>
      </c>
      <c r="L199" s="4"/>
    </row>
    <row r="200" spans="1:12" ht="30" hidden="1" customHeight="1" x14ac:dyDescent="0.25">
      <c r="A200" s="3" t="s">
        <v>279</v>
      </c>
      <c r="B200" s="4" t="s">
        <v>120</v>
      </c>
      <c r="C200" s="4" t="s">
        <v>8</v>
      </c>
      <c r="D200" s="6" t="s">
        <v>45</v>
      </c>
      <c r="E200" s="4" t="str">
        <f t="shared" si="21"/>
        <v>RND</v>
      </c>
      <c r="F200" s="4" t="s">
        <v>51</v>
      </c>
      <c r="G200" s="4" t="s">
        <v>46</v>
      </c>
      <c r="H200" s="6"/>
      <c r="I200" s="6"/>
      <c r="J200" s="4" t="s">
        <v>88</v>
      </c>
      <c r="K200" s="9" t="str">
        <f t="shared" si="17"/>
        <v>Парагвай/Zorra/RND@</v>
      </c>
      <c r="L200" s="4"/>
    </row>
    <row r="201" spans="1:12" ht="30" hidden="1" customHeight="1" x14ac:dyDescent="0.25">
      <c r="A201" s="3" t="s">
        <v>32</v>
      </c>
      <c r="B201" s="4" t="s">
        <v>120</v>
      </c>
      <c r="C201" s="4" t="s">
        <v>9</v>
      </c>
      <c r="D201" s="6" t="s">
        <v>45</v>
      </c>
      <c r="E201" s="4" t="str">
        <f t="shared" si="21"/>
        <v>RND</v>
      </c>
      <c r="F201" s="4" t="s">
        <v>51</v>
      </c>
      <c r="G201" s="4" t="s">
        <v>46</v>
      </c>
      <c r="H201" s="6"/>
      <c r="I201" s="6"/>
      <c r="J201" s="4" t="s">
        <v>88</v>
      </c>
      <c r="K201" s="9" t="str">
        <f t="shared" si="17"/>
        <v>Перу/Miatel/RND@</v>
      </c>
      <c r="L201" s="4"/>
    </row>
    <row r="202" spans="1:12" ht="30" hidden="1" customHeight="1" x14ac:dyDescent="0.25">
      <c r="A202" s="3" t="s">
        <v>32</v>
      </c>
      <c r="B202" s="4" t="s">
        <v>120</v>
      </c>
      <c r="C202" s="4" t="s">
        <v>7</v>
      </c>
      <c r="D202" s="6" t="s">
        <v>45</v>
      </c>
      <c r="E202" s="4" t="str">
        <f t="shared" si="21"/>
        <v>RND</v>
      </c>
      <c r="F202" s="4" t="s">
        <v>51</v>
      </c>
      <c r="G202" s="4" t="s">
        <v>46</v>
      </c>
      <c r="H202" s="6" t="s">
        <v>16</v>
      </c>
      <c r="I202" s="6"/>
      <c r="J202" s="4" t="s">
        <v>88</v>
      </c>
      <c r="K202" s="9" t="str">
        <f t="shared" si="17"/>
        <v>Перу/Sancom/RND/0827pfx@</v>
      </c>
      <c r="L202" s="4"/>
    </row>
    <row r="203" spans="1:12" ht="30" hidden="1" customHeight="1" x14ac:dyDescent="0.25">
      <c r="A203" s="3" t="s">
        <v>32</v>
      </c>
      <c r="B203" s="4" t="s">
        <v>120</v>
      </c>
      <c r="C203" s="4" t="s">
        <v>8</v>
      </c>
      <c r="D203" s="6" t="s">
        <v>45</v>
      </c>
      <c r="E203" s="4" t="str">
        <f t="shared" si="21"/>
        <v>RND</v>
      </c>
      <c r="F203" s="4" t="s">
        <v>51</v>
      </c>
      <c r="G203" s="4" t="s">
        <v>46</v>
      </c>
      <c r="H203" s="6"/>
      <c r="I203" s="6"/>
      <c r="J203" s="4" t="s">
        <v>88</v>
      </c>
      <c r="K203" s="9" t="str">
        <f t="shared" si="17"/>
        <v>Перу/Zorra/RND@</v>
      </c>
      <c r="L203" s="4"/>
    </row>
    <row r="204" spans="1:12" ht="30" hidden="1" customHeight="1" x14ac:dyDescent="0.25">
      <c r="A204" s="3" t="s">
        <v>33</v>
      </c>
      <c r="B204" s="4" t="s">
        <v>120</v>
      </c>
      <c r="C204" s="4" t="s">
        <v>9</v>
      </c>
      <c r="D204" s="6" t="s">
        <v>45</v>
      </c>
      <c r="E204" s="4" t="str">
        <f t="shared" si="21"/>
        <v>RND</v>
      </c>
      <c r="F204" s="4" t="s">
        <v>51</v>
      </c>
      <c r="G204" s="4" t="s">
        <v>46</v>
      </c>
      <c r="H204" s="6"/>
      <c r="I204" s="6"/>
      <c r="J204" s="4" t="s">
        <v>88</v>
      </c>
      <c r="K204" s="9" t="str">
        <f t="shared" si="17"/>
        <v>Польша/Miatel/RND@</v>
      </c>
      <c r="L204" s="4"/>
    </row>
    <row r="205" spans="1:12" ht="30" hidden="1" customHeight="1" x14ac:dyDescent="0.25">
      <c r="A205" s="3" t="s">
        <v>33</v>
      </c>
      <c r="B205" s="4" t="s">
        <v>120</v>
      </c>
      <c r="C205" s="4" t="s">
        <v>7</v>
      </c>
      <c r="D205" s="6" t="s">
        <v>45</v>
      </c>
      <c r="E205" s="4" t="str">
        <f t="shared" si="21"/>
        <v>RND</v>
      </c>
      <c r="F205" s="4" t="s">
        <v>51</v>
      </c>
      <c r="G205" s="4" t="s">
        <v>46</v>
      </c>
      <c r="H205" s="6" t="s">
        <v>12</v>
      </c>
      <c r="I205" s="6"/>
      <c r="J205" s="4" t="s">
        <v>88</v>
      </c>
      <c r="K205" s="9" t="str">
        <f t="shared" si="17"/>
        <v>Польша/Sancom/RND/0789pfx@</v>
      </c>
      <c r="L205" s="4"/>
    </row>
    <row r="206" spans="1:12" ht="30" hidden="1" customHeight="1" x14ac:dyDescent="0.25">
      <c r="A206" s="3" t="s">
        <v>33</v>
      </c>
      <c r="B206" s="4" t="s">
        <v>120</v>
      </c>
      <c r="C206" s="4" t="s">
        <v>7</v>
      </c>
      <c r="D206" s="6" t="s">
        <v>45</v>
      </c>
      <c r="E206" s="4" t="str">
        <f t="shared" si="21"/>
        <v>RND</v>
      </c>
      <c r="F206" s="4" t="s">
        <v>51</v>
      </c>
      <c r="G206" s="4" t="s">
        <v>46</v>
      </c>
      <c r="H206" s="6" t="s">
        <v>16</v>
      </c>
      <c r="I206" s="6"/>
      <c r="J206" s="4" t="s">
        <v>88</v>
      </c>
      <c r="K206" s="9" t="str">
        <f t="shared" si="17"/>
        <v>Польша/Sancom/RND/0827pfx@</v>
      </c>
      <c r="L206" s="4"/>
    </row>
    <row r="207" spans="1:12" ht="30" hidden="1" customHeight="1" x14ac:dyDescent="0.25">
      <c r="A207" s="3" t="s">
        <v>33</v>
      </c>
      <c r="B207" s="4" t="s">
        <v>120</v>
      </c>
      <c r="C207" s="4" t="s">
        <v>8</v>
      </c>
      <c r="D207" s="6" t="s">
        <v>45</v>
      </c>
      <c r="E207" s="4" t="str">
        <f t="shared" si="21"/>
        <v>RND</v>
      </c>
      <c r="F207" s="4" t="s">
        <v>51</v>
      </c>
      <c r="G207" s="4" t="s">
        <v>46</v>
      </c>
      <c r="H207" s="6"/>
      <c r="I207" s="6"/>
      <c r="J207" s="4" t="s">
        <v>88</v>
      </c>
      <c r="K207" s="9" t="str">
        <f t="shared" si="17"/>
        <v>Польша/Zorra/RND@</v>
      </c>
      <c r="L207" s="4"/>
    </row>
    <row r="208" spans="1:12" ht="30" hidden="1" customHeight="1" x14ac:dyDescent="0.25">
      <c r="A208" s="3" t="s">
        <v>34</v>
      </c>
      <c r="B208" s="4" t="s">
        <v>120</v>
      </c>
      <c r="C208" s="4" t="s">
        <v>9</v>
      </c>
      <c r="D208" s="6" t="s">
        <v>45</v>
      </c>
      <c r="E208" s="4" t="str">
        <f t="shared" si="21"/>
        <v>RND</v>
      </c>
      <c r="F208" s="4" t="s">
        <v>51</v>
      </c>
      <c r="G208" s="4" t="s">
        <v>46</v>
      </c>
      <c r="H208" s="6"/>
      <c r="I208" s="6"/>
      <c r="J208" s="4" t="s">
        <v>88</v>
      </c>
      <c r="K208" s="9" t="str">
        <f t="shared" si="17"/>
        <v>Португалия/Miatel/RND@</v>
      </c>
      <c r="L208" s="4"/>
    </row>
    <row r="209" spans="1:12" ht="30" hidden="1" customHeight="1" x14ac:dyDescent="0.25">
      <c r="A209" s="3" t="s">
        <v>34</v>
      </c>
      <c r="B209" s="4" t="s">
        <v>120</v>
      </c>
      <c r="C209" s="4" t="s">
        <v>7</v>
      </c>
      <c r="D209" s="6" t="s">
        <v>45</v>
      </c>
      <c r="E209" s="4" t="str">
        <f t="shared" si="21"/>
        <v>RND</v>
      </c>
      <c r="F209" s="4" t="s">
        <v>51</v>
      </c>
      <c r="G209" s="4" t="s">
        <v>46</v>
      </c>
      <c r="H209" s="6" t="s">
        <v>12</v>
      </c>
      <c r="I209" s="6"/>
      <c r="J209" s="4" t="s">
        <v>88</v>
      </c>
      <c r="K209" s="9" t="str">
        <f t="shared" si="17"/>
        <v>Португалия/Sancom/RND/0789pfx@</v>
      </c>
      <c r="L209" s="4"/>
    </row>
    <row r="210" spans="1:12" ht="30" hidden="1" customHeight="1" x14ac:dyDescent="0.25">
      <c r="A210" s="3" t="s">
        <v>34</v>
      </c>
      <c r="B210" s="4" t="s">
        <v>120</v>
      </c>
      <c r="C210" s="4" t="s">
        <v>7</v>
      </c>
      <c r="D210" s="6" t="s">
        <v>45</v>
      </c>
      <c r="E210" s="4" t="str">
        <f t="shared" si="21"/>
        <v>RND</v>
      </c>
      <c r="F210" s="4" t="s">
        <v>51</v>
      </c>
      <c r="G210" s="4" t="s">
        <v>46</v>
      </c>
      <c r="H210" s="6" t="s">
        <v>13</v>
      </c>
      <c r="I210" s="6"/>
      <c r="J210" s="4" t="s">
        <v>88</v>
      </c>
      <c r="K210" s="9" t="str">
        <f t="shared" si="17"/>
        <v>Португалия/Sancom/RND/0792pfx@</v>
      </c>
      <c r="L210" s="4" t="s">
        <v>251</v>
      </c>
    </row>
    <row r="211" spans="1:12" ht="30" hidden="1" customHeight="1" x14ac:dyDescent="0.25">
      <c r="A211" s="3" t="s">
        <v>34</v>
      </c>
      <c r="B211" s="4" t="s">
        <v>120</v>
      </c>
      <c r="C211" s="4" t="s">
        <v>7</v>
      </c>
      <c r="D211" s="6" t="s">
        <v>45</v>
      </c>
      <c r="E211" s="4" t="str">
        <f t="shared" si="21"/>
        <v>RND</v>
      </c>
      <c r="F211" s="4" t="s">
        <v>51</v>
      </c>
      <c r="G211" s="4" t="s">
        <v>46</v>
      </c>
      <c r="H211" s="6" t="s">
        <v>16</v>
      </c>
      <c r="I211" s="6"/>
      <c r="J211" s="4" t="s">
        <v>88</v>
      </c>
      <c r="K211" s="9" t="str">
        <f t="shared" si="17"/>
        <v>Португалия/Sancom/RND/0827pfx@</v>
      </c>
      <c r="L211" s="4"/>
    </row>
    <row r="212" spans="1:12" ht="30" hidden="1" customHeight="1" x14ac:dyDescent="0.25">
      <c r="A212" s="3" t="s">
        <v>34</v>
      </c>
      <c r="B212" s="4" t="s">
        <v>120</v>
      </c>
      <c r="C212" s="4" t="s">
        <v>7</v>
      </c>
      <c r="D212" s="6" t="s">
        <v>45</v>
      </c>
      <c r="E212" s="4" t="str">
        <f t="shared" si="21"/>
        <v>RND</v>
      </c>
      <c r="F212" s="4" t="s">
        <v>51</v>
      </c>
      <c r="G212" s="4" t="s">
        <v>46</v>
      </c>
      <c r="H212" s="6" t="s">
        <v>15</v>
      </c>
      <c r="I212" s="6"/>
      <c r="J212" s="4" t="s">
        <v>88</v>
      </c>
      <c r="K212" s="9" t="str">
        <f t="shared" si="17"/>
        <v>Португалия/Sancom/RND/0808pfx@</v>
      </c>
      <c r="L212" s="4"/>
    </row>
    <row r="213" spans="1:12" ht="30" hidden="1" customHeight="1" x14ac:dyDescent="0.25">
      <c r="A213" s="3" t="s">
        <v>34</v>
      </c>
      <c r="B213" s="4" t="s">
        <v>120</v>
      </c>
      <c r="C213" s="4" t="s">
        <v>8</v>
      </c>
      <c r="D213" s="6" t="s">
        <v>45</v>
      </c>
      <c r="E213" s="4" t="str">
        <f t="shared" si="21"/>
        <v>RND</v>
      </c>
      <c r="F213" s="4" t="s">
        <v>51</v>
      </c>
      <c r="G213" s="4" t="s">
        <v>46</v>
      </c>
      <c r="H213" s="6"/>
      <c r="I213" s="6"/>
      <c r="J213" s="4" t="s">
        <v>88</v>
      </c>
      <c r="K213" s="9" t="str">
        <f t="shared" si="17"/>
        <v>Португалия/Zorra/RND@</v>
      </c>
      <c r="L213" s="4"/>
    </row>
    <row r="214" spans="1:12" ht="30" hidden="1" customHeight="1" x14ac:dyDescent="0.25">
      <c r="A214" s="3" t="s">
        <v>34</v>
      </c>
      <c r="B214" s="4" t="s">
        <v>120</v>
      </c>
      <c r="C214" s="4" t="s">
        <v>280</v>
      </c>
      <c r="D214" s="6" t="s">
        <v>45</v>
      </c>
      <c r="E214" s="4" t="str">
        <f t="shared" si="21"/>
        <v>RND</v>
      </c>
      <c r="F214" s="4" t="s">
        <v>51</v>
      </c>
      <c r="G214" s="4" t="s">
        <v>46</v>
      </c>
      <c r="H214" s="6"/>
      <c r="I214" s="6"/>
      <c r="J214" s="4" t="s">
        <v>88</v>
      </c>
      <c r="K214" s="9" t="str">
        <f t="shared" ref="K214:K296" si="22">IF(OR(E214="Укоротить",E214=0),"Нет номера",A214&amp;IF(ISBLANK(I214),"",$K$3&amp;I214)&amp;$K$3&amp;C214&amp;$K$3&amp;E214&amp;IF(ISBLANK(H214),"",$K$3&amp;H214&amp;"pfx")&amp;"@")</f>
        <v>Португалия/UniTalk/RND@</v>
      </c>
      <c r="L214" s="4"/>
    </row>
    <row r="215" spans="1:12" ht="30" hidden="1" customHeight="1" x14ac:dyDescent="0.25">
      <c r="A215" s="3" t="s">
        <v>34</v>
      </c>
      <c r="B215" s="4" t="s">
        <v>120</v>
      </c>
      <c r="C215" s="4" t="s">
        <v>352</v>
      </c>
      <c r="D215" s="6" t="s">
        <v>356</v>
      </c>
      <c r="E215" s="4" t="s">
        <v>81</v>
      </c>
      <c r="F215" s="4" t="s">
        <v>355</v>
      </c>
      <c r="G215" s="4" t="s">
        <v>46</v>
      </c>
      <c r="H215" s="6"/>
      <c r="I215" s="6"/>
      <c r="J215" s="4" t="s">
        <v>88</v>
      </c>
      <c r="K215" s="9" t="str">
        <f>IF(OR(E215="Укоротить",E215=0),"Нет номера",A215&amp;IF(ISBLANK(I215),"",$K$3&amp;I215)&amp;$K$3&amp;C215&amp;$K$3&amp;E215&amp;IF(ISBLANK(H215),"",$K$3&amp;H215&amp;"pfx")&amp;"@")</f>
        <v>Португалия/Rocketcalls/Pool_A@</v>
      </c>
      <c r="L215" s="4"/>
    </row>
    <row r="216" spans="1:12" ht="30" hidden="1" customHeight="1" x14ac:dyDescent="0.25">
      <c r="A216" s="3" t="s">
        <v>35</v>
      </c>
      <c r="B216" s="4" t="s">
        <v>120</v>
      </c>
      <c r="C216" s="4" t="s">
        <v>360</v>
      </c>
      <c r="D216" s="6"/>
      <c r="E216" s="4" t="s">
        <v>81</v>
      </c>
      <c r="F216" s="4" t="s">
        <v>235</v>
      </c>
      <c r="G216" s="4" t="s">
        <v>48</v>
      </c>
      <c r="H216" s="6"/>
      <c r="I216" s="6"/>
      <c r="J216" s="4"/>
      <c r="K216" s="9" t="s">
        <v>359</v>
      </c>
      <c r="L216" s="4"/>
    </row>
    <row r="217" spans="1:12" ht="30" hidden="1" customHeight="1" x14ac:dyDescent="0.25">
      <c r="A217" s="3" t="s">
        <v>35</v>
      </c>
      <c r="B217" s="4" t="s">
        <v>120</v>
      </c>
      <c r="C217" s="4" t="s">
        <v>9</v>
      </c>
      <c r="D217" s="6" t="s">
        <v>236</v>
      </c>
      <c r="E217" s="4" t="s">
        <v>81</v>
      </c>
      <c r="F217" s="4" t="s">
        <v>235</v>
      </c>
      <c r="G217" s="4" t="s">
        <v>48</v>
      </c>
      <c r="H217" s="6"/>
      <c r="I217" s="6"/>
      <c r="J217" s="4"/>
      <c r="K217" s="9" t="str">
        <f t="shared" si="22"/>
        <v>Россия/Miatel/Pool_A@</v>
      </c>
      <c r="L217" s="4" t="s">
        <v>220</v>
      </c>
    </row>
    <row r="218" spans="1:12" ht="30" hidden="1" customHeight="1" x14ac:dyDescent="0.25">
      <c r="A218" s="3" t="s">
        <v>35</v>
      </c>
      <c r="B218" s="4" t="s">
        <v>120</v>
      </c>
      <c r="C218" s="4" t="s">
        <v>7</v>
      </c>
      <c r="D218" s="6" t="s">
        <v>221</v>
      </c>
      <c r="E218" s="4" t="s">
        <v>83</v>
      </c>
      <c r="F218" s="4" t="s">
        <v>166</v>
      </c>
      <c r="G218" s="4" t="s">
        <v>48</v>
      </c>
      <c r="H218" s="6" t="s">
        <v>14</v>
      </c>
      <c r="I218" s="6"/>
      <c r="J218" s="4"/>
      <c r="K218" s="9" t="str">
        <f t="shared" si="22"/>
        <v>Россия/Sancom/Pool_C/0793pfx@</v>
      </c>
      <c r="L218" s="4" t="s">
        <v>220</v>
      </c>
    </row>
    <row r="219" spans="1:12" ht="30" hidden="1" customHeight="1" x14ac:dyDescent="0.25">
      <c r="A219" s="3" t="s">
        <v>35</v>
      </c>
      <c r="B219" s="4" t="s">
        <v>120</v>
      </c>
      <c r="C219" s="4" t="s">
        <v>8</v>
      </c>
      <c r="D219" s="6" t="s">
        <v>222</v>
      </c>
      <c r="E219" s="4" t="s">
        <v>115</v>
      </c>
      <c r="F219" s="4" t="s">
        <v>79</v>
      </c>
      <c r="G219" s="4" t="s">
        <v>48</v>
      </c>
      <c r="H219" s="6"/>
      <c r="I219" s="6"/>
      <c r="J219" s="4"/>
      <c r="K219" s="9" t="str">
        <f t="shared" si="22"/>
        <v>Россия/Zorra/Pool_D@</v>
      </c>
      <c r="L219" s="4"/>
    </row>
    <row r="220" spans="1:12" ht="30" hidden="1" customHeight="1" x14ac:dyDescent="0.25">
      <c r="A220" s="3" t="s">
        <v>210</v>
      </c>
      <c r="B220" s="4" t="s">
        <v>120</v>
      </c>
      <c r="C220" s="4" t="s">
        <v>9</v>
      </c>
      <c r="D220" s="6" t="s">
        <v>45</v>
      </c>
      <c r="E220" s="4" t="str">
        <f t="shared" ref="E220:E248" si="23">IF(D220="Random","RND",IF(LEN(D220)&gt;15,"Укоротить",IF(D220="Сим-карты","SIM",D220)))</f>
        <v>RND</v>
      </c>
      <c r="F220" s="4" t="s">
        <v>51</v>
      </c>
      <c r="G220" s="4" t="s">
        <v>46</v>
      </c>
      <c r="H220" s="6"/>
      <c r="I220" s="6"/>
      <c r="J220" s="4" t="s">
        <v>88</v>
      </c>
      <c r="K220" s="9" t="str">
        <f t="shared" si="22"/>
        <v>Руанда/Miatel/RND@</v>
      </c>
      <c r="L220" s="4"/>
    </row>
    <row r="221" spans="1:12" ht="30" hidden="1" customHeight="1" x14ac:dyDescent="0.25">
      <c r="A221" s="3" t="s">
        <v>210</v>
      </c>
      <c r="B221" s="4" t="s">
        <v>120</v>
      </c>
      <c r="C221" s="4" t="s">
        <v>7</v>
      </c>
      <c r="D221" s="6" t="s">
        <v>45</v>
      </c>
      <c r="E221" s="4" t="str">
        <f t="shared" si="23"/>
        <v>RND</v>
      </c>
      <c r="F221" s="4" t="s">
        <v>51</v>
      </c>
      <c r="G221" s="4" t="s">
        <v>46</v>
      </c>
      <c r="H221" s="6" t="s">
        <v>16</v>
      </c>
      <c r="I221" s="6"/>
      <c r="J221" s="4" t="s">
        <v>91</v>
      </c>
      <c r="K221" s="9" t="str">
        <f t="shared" si="22"/>
        <v>Руанда/Sancom/RND/0827pfx@</v>
      </c>
      <c r="L221" s="4"/>
    </row>
    <row r="222" spans="1:12" ht="30" hidden="1" customHeight="1" x14ac:dyDescent="0.25">
      <c r="A222" s="3" t="s">
        <v>210</v>
      </c>
      <c r="B222" s="4" t="s">
        <v>120</v>
      </c>
      <c r="C222" s="4" t="s">
        <v>8</v>
      </c>
      <c r="D222" s="6" t="s">
        <v>45</v>
      </c>
      <c r="E222" s="4" t="str">
        <f t="shared" si="23"/>
        <v>RND</v>
      </c>
      <c r="F222" s="4" t="s">
        <v>51</v>
      </c>
      <c r="G222" s="4" t="s">
        <v>46</v>
      </c>
      <c r="H222" s="6"/>
      <c r="I222" s="6"/>
      <c r="J222" s="4" t="s">
        <v>88</v>
      </c>
      <c r="K222" s="9" t="str">
        <f t="shared" si="22"/>
        <v>Руанда/Zorra/RND@</v>
      </c>
      <c r="L222" s="4"/>
    </row>
    <row r="223" spans="1:12" ht="30" hidden="1" customHeight="1" x14ac:dyDescent="0.25">
      <c r="A223" s="3" t="s">
        <v>36</v>
      </c>
      <c r="B223" s="4" t="s">
        <v>120</v>
      </c>
      <c r="C223" s="4" t="s">
        <v>9</v>
      </c>
      <c r="D223" s="6" t="s">
        <v>181</v>
      </c>
      <c r="E223" s="4" t="str">
        <f t="shared" si="23"/>
        <v>40364228120</v>
      </c>
      <c r="F223" s="4" t="s">
        <v>184</v>
      </c>
      <c r="G223" s="4" t="s">
        <v>48</v>
      </c>
      <c r="H223" s="6"/>
      <c r="I223" s="6" t="s">
        <v>109</v>
      </c>
      <c r="J223" s="4"/>
      <c r="K223" s="9" t="str">
        <f t="shared" si="22"/>
        <v>Румыния/Дожим/Miatel/40364228120@</v>
      </c>
      <c r="L223" s="4"/>
    </row>
    <row r="224" spans="1:12" ht="30" hidden="1" customHeight="1" x14ac:dyDescent="0.25">
      <c r="A224" s="3" t="s">
        <v>36</v>
      </c>
      <c r="B224" s="4" t="s">
        <v>120</v>
      </c>
      <c r="C224" s="4" t="s">
        <v>9</v>
      </c>
      <c r="D224" s="6" t="s">
        <v>182</v>
      </c>
      <c r="E224" s="4" t="str">
        <f t="shared" si="23"/>
        <v>40364228122</v>
      </c>
      <c r="F224" s="4" t="s">
        <v>185</v>
      </c>
      <c r="G224" s="4" t="s">
        <v>48</v>
      </c>
      <c r="H224" s="6"/>
      <c r="I224" s="6"/>
      <c r="J224" s="4"/>
      <c r="K224" s="9" t="str">
        <f t="shared" si="22"/>
        <v>Румыния/Miatel/40364228122@</v>
      </c>
      <c r="L224" s="4" t="s">
        <v>234</v>
      </c>
    </row>
    <row r="225" spans="1:12" ht="30" hidden="1" customHeight="1" x14ac:dyDescent="0.25">
      <c r="A225" s="3" t="s">
        <v>36</v>
      </c>
      <c r="B225" s="4" t="s">
        <v>120</v>
      </c>
      <c r="C225" s="4" t="s">
        <v>9</v>
      </c>
      <c r="D225" s="6" t="s">
        <v>233</v>
      </c>
      <c r="E225" s="4" t="str">
        <f t="shared" si="23"/>
        <v>40364228183</v>
      </c>
      <c r="F225" s="4" t="s">
        <v>186</v>
      </c>
      <c r="G225" s="4" t="s">
        <v>48</v>
      </c>
      <c r="H225" s="6"/>
      <c r="I225" s="6"/>
      <c r="J225" s="4"/>
      <c r="K225" s="9" t="str">
        <f t="shared" si="22"/>
        <v>Румыния/Miatel/40364228183@</v>
      </c>
      <c r="L225" s="4"/>
    </row>
    <row r="226" spans="1:12" ht="30.75" hidden="1" customHeight="1" x14ac:dyDescent="0.25">
      <c r="A226" s="3" t="s">
        <v>36</v>
      </c>
      <c r="B226" s="4" t="s">
        <v>120</v>
      </c>
      <c r="C226" s="4" t="s">
        <v>9</v>
      </c>
      <c r="D226" s="6" t="s">
        <v>45</v>
      </c>
      <c r="E226" s="4" t="str">
        <f t="shared" si="23"/>
        <v>RND</v>
      </c>
      <c r="F226" s="4" t="s">
        <v>51</v>
      </c>
      <c r="G226" s="4" t="s">
        <v>46</v>
      </c>
      <c r="H226" s="6"/>
      <c r="I226" s="6"/>
      <c r="J226" s="4" t="s">
        <v>88</v>
      </c>
      <c r="K226" s="9" t="str">
        <f t="shared" si="22"/>
        <v>Румыния/Miatel/RND@</v>
      </c>
      <c r="L226" s="4"/>
    </row>
    <row r="227" spans="1:12" ht="30.75" hidden="1" customHeight="1" x14ac:dyDescent="0.25">
      <c r="A227" s="3" t="s">
        <v>36</v>
      </c>
      <c r="B227" s="4" t="s">
        <v>120</v>
      </c>
      <c r="C227" s="4" t="s">
        <v>9</v>
      </c>
      <c r="D227" s="6" t="s">
        <v>45</v>
      </c>
      <c r="E227" s="4" t="str">
        <f>IF(D227="Random","RND",IF(LEN(D227)&gt;15,"Укоротить",IF(D227="Сим-карты","SIM",D227)))</f>
        <v>RND</v>
      </c>
      <c r="F227" s="4" t="s">
        <v>51</v>
      </c>
      <c r="G227" s="4" t="s">
        <v>46</v>
      </c>
      <c r="H227" s="6" t="s">
        <v>158</v>
      </c>
      <c r="I227" s="6"/>
      <c r="J227" s="4" t="s">
        <v>88</v>
      </c>
      <c r="K227" s="9" t="str">
        <f>IF(OR(E227="Укоротить",E227=0),"Нет номера",A227&amp;IF(ISBLANK(I227),"",$K$3&amp;I227)&amp;$K$3&amp;C227&amp;$K$3&amp;E227&amp;IF(ISBLANK(H227),"",$K$3&amp;H227&amp;"pfx")&amp;"@")</f>
        <v>Румыния/Miatel/RND/0333pfx@</v>
      </c>
      <c r="L227" s="4" t="s">
        <v>340</v>
      </c>
    </row>
    <row r="228" spans="1:12" ht="30.75" hidden="1" customHeight="1" x14ac:dyDescent="0.25">
      <c r="A228" s="3" t="s">
        <v>36</v>
      </c>
      <c r="B228" s="4" t="s">
        <v>120</v>
      </c>
      <c r="C228" s="4" t="s">
        <v>7</v>
      </c>
      <c r="D228" s="6" t="s">
        <v>181</v>
      </c>
      <c r="E228" s="4" t="str">
        <f t="shared" si="23"/>
        <v>40364228120</v>
      </c>
      <c r="F228" s="4" t="s">
        <v>184</v>
      </c>
      <c r="G228" s="4" t="s">
        <v>48</v>
      </c>
      <c r="H228" s="6" t="s">
        <v>12</v>
      </c>
      <c r="I228" s="6" t="s">
        <v>109</v>
      </c>
      <c r="J228" s="4"/>
      <c r="K228" s="9" t="str">
        <f t="shared" si="22"/>
        <v>Румыния/Дожим/Sancom/40364228120/0789pfx@</v>
      </c>
      <c r="L228" s="4"/>
    </row>
    <row r="229" spans="1:12" ht="30.75" hidden="1" customHeight="1" x14ac:dyDescent="0.25">
      <c r="A229" s="3" t="s">
        <v>36</v>
      </c>
      <c r="B229" s="4" t="s">
        <v>120</v>
      </c>
      <c r="C229" s="4" t="s">
        <v>7</v>
      </c>
      <c r="D229" s="6" t="s">
        <v>181</v>
      </c>
      <c r="E229" s="4" t="str">
        <f t="shared" si="23"/>
        <v>40364228120</v>
      </c>
      <c r="F229" s="4" t="s">
        <v>184</v>
      </c>
      <c r="G229" s="4" t="s">
        <v>48</v>
      </c>
      <c r="H229" s="6" t="s">
        <v>16</v>
      </c>
      <c r="I229" s="6" t="s">
        <v>109</v>
      </c>
      <c r="J229" s="4"/>
      <c r="K229" s="9" t="str">
        <f t="shared" si="22"/>
        <v>Румыния/Дожим/Sancom/40364228120/0827pfx@</v>
      </c>
      <c r="L229" s="4"/>
    </row>
    <row r="230" spans="1:12" ht="30" hidden="1" customHeight="1" x14ac:dyDescent="0.25">
      <c r="A230" s="3" t="s">
        <v>36</v>
      </c>
      <c r="B230" s="4" t="s">
        <v>120</v>
      </c>
      <c r="C230" s="4" t="s">
        <v>7</v>
      </c>
      <c r="D230" s="6" t="s">
        <v>182</v>
      </c>
      <c r="E230" s="4" t="str">
        <f t="shared" si="23"/>
        <v>40364228122</v>
      </c>
      <c r="F230" s="4" t="s">
        <v>185</v>
      </c>
      <c r="G230" s="4" t="s">
        <v>48</v>
      </c>
      <c r="H230" s="6" t="s">
        <v>12</v>
      </c>
      <c r="I230" s="6"/>
      <c r="J230" s="4"/>
      <c r="K230" s="9" t="str">
        <f t="shared" si="22"/>
        <v>Румыния/Sancom/40364228122/0789pfx@</v>
      </c>
      <c r="L230" s="4" t="s">
        <v>234</v>
      </c>
    </row>
    <row r="231" spans="1:12" ht="30" hidden="1" customHeight="1" x14ac:dyDescent="0.25">
      <c r="A231" s="3" t="s">
        <v>36</v>
      </c>
      <c r="B231" s="4" t="s">
        <v>120</v>
      </c>
      <c r="C231" s="4" t="s">
        <v>7</v>
      </c>
      <c r="D231" s="6" t="s">
        <v>182</v>
      </c>
      <c r="E231" s="4" t="str">
        <f t="shared" si="23"/>
        <v>40364228122</v>
      </c>
      <c r="F231" s="4" t="s">
        <v>185</v>
      </c>
      <c r="G231" s="4" t="s">
        <v>48</v>
      </c>
      <c r="H231" s="6" t="s">
        <v>16</v>
      </c>
      <c r="I231" s="6"/>
      <c r="J231" s="4"/>
      <c r="K231" s="9" t="str">
        <f t="shared" si="22"/>
        <v>Румыния/Sancom/40364228122/0827pfx@</v>
      </c>
      <c r="L231" s="4" t="s">
        <v>234</v>
      </c>
    </row>
    <row r="232" spans="1:12" ht="30" hidden="1" customHeight="1" x14ac:dyDescent="0.25">
      <c r="A232" s="3" t="s">
        <v>36</v>
      </c>
      <c r="B232" s="4" t="s">
        <v>120</v>
      </c>
      <c r="C232" s="4" t="s">
        <v>7</v>
      </c>
      <c r="D232" s="6" t="s">
        <v>233</v>
      </c>
      <c r="E232" s="4" t="str">
        <f t="shared" si="23"/>
        <v>40364228183</v>
      </c>
      <c r="F232" s="4" t="s">
        <v>186</v>
      </c>
      <c r="G232" s="4" t="s">
        <v>48</v>
      </c>
      <c r="H232" s="6" t="s">
        <v>12</v>
      </c>
      <c r="I232" s="6"/>
      <c r="J232" s="4"/>
      <c r="K232" s="9" t="str">
        <f t="shared" si="22"/>
        <v>Румыния/Sancom/40364228183/0789pfx@</v>
      </c>
      <c r="L232" s="4"/>
    </row>
    <row r="233" spans="1:12" ht="30" hidden="1" customHeight="1" x14ac:dyDescent="0.25">
      <c r="A233" s="3" t="s">
        <v>36</v>
      </c>
      <c r="B233" s="4" t="s">
        <v>120</v>
      </c>
      <c r="C233" s="4" t="s">
        <v>7</v>
      </c>
      <c r="D233" s="6" t="s">
        <v>233</v>
      </c>
      <c r="E233" s="4" t="str">
        <f t="shared" si="23"/>
        <v>40364228183</v>
      </c>
      <c r="F233" s="4" t="s">
        <v>186</v>
      </c>
      <c r="G233" s="4" t="s">
        <v>48</v>
      </c>
      <c r="H233" s="6" t="s">
        <v>16</v>
      </c>
      <c r="I233" s="6"/>
      <c r="J233" s="4"/>
      <c r="K233" s="9" t="str">
        <f t="shared" si="22"/>
        <v>Румыния/Sancom/40364228183/0827pfx@</v>
      </c>
      <c r="L233" s="4"/>
    </row>
    <row r="234" spans="1:12" ht="30" hidden="1" customHeight="1" x14ac:dyDescent="0.25">
      <c r="A234" s="3" t="s">
        <v>36</v>
      </c>
      <c r="B234" s="4" t="s">
        <v>120</v>
      </c>
      <c r="C234" s="4" t="s">
        <v>7</v>
      </c>
      <c r="D234" s="6" t="s">
        <v>45</v>
      </c>
      <c r="E234" s="4" t="str">
        <f t="shared" si="23"/>
        <v>RND</v>
      </c>
      <c r="F234" s="4" t="s">
        <v>51</v>
      </c>
      <c r="G234" s="4" t="s">
        <v>46</v>
      </c>
      <c r="H234" s="6" t="s">
        <v>12</v>
      </c>
      <c r="I234" s="6"/>
      <c r="J234" s="4" t="s">
        <v>88</v>
      </c>
      <c r="K234" s="9" t="str">
        <f t="shared" si="22"/>
        <v>Румыния/Sancom/RND/0789pfx@</v>
      </c>
      <c r="L234" s="4"/>
    </row>
    <row r="235" spans="1:12" ht="30" hidden="1" customHeight="1" x14ac:dyDescent="0.25">
      <c r="A235" s="3" t="s">
        <v>36</v>
      </c>
      <c r="B235" s="4" t="s">
        <v>120</v>
      </c>
      <c r="C235" s="4" t="s">
        <v>7</v>
      </c>
      <c r="D235" s="6" t="s">
        <v>45</v>
      </c>
      <c r="E235" s="4" t="str">
        <f t="shared" si="23"/>
        <v>RND</v>
      </c>
      <c r="F235" s="4" t="s">
        <v>51</v>
      </c>
      <c r="G235" s="4" t="s">
        <v>46</v>
      </c>
      <c r="H235" s="6" t="s">
        <v>16</v>
      </c>
      <c r="I235" s="6"/>
      <c r="J235" s="4" t="s">
        <v>88</v>
      </c>
      <c r="K235" s="9" t="str">
        <f t="shared" si="22"/>
        <v>Румыния/Sancom/RND/0827pfx@</v>
      </c>
      <c r="L235" s="4"/>
    </row>
    <row r="236" spans="1:12" ht="30" hidden="1" customHeight="1" x14ac:dyDescent="0.25">
      <c r="A236" s="3" t="s">
        <v>36</v>
      </c>
      <c r="B236" s="4" t="s">
        <v>120</v>
      </c>
      <c r="C236" s="4" t="s">
        <v>8</v>
      </c>
      <c r="D236" s="6" t="s">
        <v>181</v>
      </c>
      <c r="E236" s="4" t="str">
        <f t="shared" si="23"/>
        <v>40364228120</v>
      </c>
      <c r="F236" s="4" t="s">
        <v>184</v>
      </c>
      <c r="G236" s="4" t="s">
        <v>48</v>
      </c>
      <c r="H236" s="6"/>
      <c r="I236" s="6" t="s">
        <v>109</v>
      </c>
      <c r="J236" s="4"/>
      <c r="K236" s="9" t="str">
        <f t="shared" si="22"/>
        <v>Румыния/Дожим/Zorra/40364228120@</v>
      </c>
      <c r="L236" s="4"/>
    </row>
    <row r="237" spans="1:12" ht="30" hidden="1" customHeight="1" x14ac:dyDescent="0.25">
      <c r="A237" s="3" t="s">
        <v>36</v>
      </c>
      <c r="B237" s="4" t="s">
        <v>120</v>
      </c>
      <c r="C237" s="4" t="s">
        <v>8</v>
      </c>
      <c r="D237" s="6" t="s">
        <v>182</v>
      </c>
      <c r="E237" s="4" t="str">
        <f t="shared" si="23"/>
        <v>40364228122</v>
      </c>
      <c r="F237" s="4" t="s">
        <v>185</v>
      </c>
      <c r="G237" s="4" t="s">
        <v>48</v>
      </c>
      <c r="H237" s="6"/>
      <c r="I237" s="6"/>
      <c r="J237" s="4"/>
      <c r="K237" s="9" t="str">
        <f t="shared" si="22"/>
        <v>Румыния/Zorra/40364228122@</v>
      </c>
      <c r="L237" s="4" t="s">
        <v>234</v>
      </c>
    </row>
    <row r="238" spans="1:12" ht="30" hidden="1" customHeight="1" x14ac:dyDescent="0.25">
      <c r="A238" s="3" t="s">
        <v>36</v>
      </c>
      <c r="B238" s="4" t="s">
        <v>120</v>
      </c>
      <c r="C238" s="4" t="s">
        <v>8</v>
      </c>
      <c r="D238" s="6" t="s">
        <v>233</v>
      </c>
      <c r="E238" s="4" t="str">
        <f t="shared" si="23"/>
        <v>40364228183</v>
      </c>
      <c r="F238" s="4" t="s">
        <v>186</v>
      </c>
      <c r="G238" s="4" t="s">
        <v>48</v>
      </c>
      <c r="H238" s="6"/>
      <c r="I238" s="6"/>
      <c r="J238" s="4"/>
      <c r="K238" s="9" t="str">
        <f t="shared" si="22"/>
        <v>Румыния/Zorra/40364228183@</v>
      </c>
      <c r="L238" s="4"/>
    </row>
    <row r="239" spans="1:12" ht="30" hidden="1" customHeight="1" x14ac:dyDescent="0.25">
      <c r="A239" s="3" t="s">
        <v>36</v>
      </c>
      <c r="B239" s="4" t="s">
        <v>120</v>
      </c>
      <c r="C239" s="4" t="s">
        <v>8</v>
      </c>
      <c r="D239" s="6" t="s">
        <v>45</v>
      </c>
      <c r="E239" s="4" t="str">
        <f t="shared" si="23"/>
        <v>RND</v>
      </c>
      <c r="F239" s="4" t="s">
        <v>51</v>
      </c>
      <c r="G239" s="4" t="s">
        <v>46</v>
      </c>
      <c r="H239" s="6"/>
      <c r="I239" s="6"/>
      <c r="J239" s="4" t="s">
        <v>88</v>
      </c>
      <c r="K239" s="9" t="str">
        <f t="shared" si="22"/>
        <v>Румыния/Zorra/RND@</v>
      </c>
      <c r="L239" s="4"/>
    </row>
    <row r="240" spans="1:12" ht="30" hidden="1" customHeight="1" x14ac:dyDescent="0.25">
      <c r="A240" s="3" t="s">
        <v>36</v>
      </c>
      <c r="B240" s="4" t="s">
        <v>120</v>
      </c>
      <c r="C240" s="4" t="s">
        <v>7</v>
      </c>
      <c r="D240" s="6" t="s">
        <v>271</v>
      </c>
      <c r="E240" s="4" t="str">
        <f t="shared" si="23"/>
        <v>40351229043</v>
      </c>
      <c r="F240" s="4" t="s">
        <v>269</v>
      </c>
      <c r="G240" s="4" t="s">
        <v>48</v>
      </c>
      <c r="H240" s="6" t="s">
        <v>12</v>
      </c>
      <c r="I240" s="6"/>
      <c r="J240" s="4"/>
      <c r="K240" s="9" t="str">
        <f t="shared" si="22"/>
        <v>Румыния/Sancom/40351229043/0789pfx@</v>
      </c>
      <c r="L240" s="4" t="s">
        <v>263</v>
      </c>
    </row>
    <row r="241" spans="1:12" ht="30" hidden="1" customHeight="1" x14ac:dyDescent="0.25">
      <c r="A241" s="3" t="s">
        <v>36</v>
      </c>
      <c r="B241" s="4" t="s">
        <v>120</v>
      </c>
      <c r="C241" s="4" t="s">
        <v>7</v>
      </c>
      <c r="D241" s="6" t="s">
        <v>271</v>
      </c>
      <c r="E241" s="4" t="str">
        <f t="shared" si="23"/>
        <v>40351229043</v>
      </c>
      <c r="F241" s="4" t="s">
        <v>269</v>
      </c>
      <c r="G241" s="4" t="s">
        <v>48</v>
      </c>
      <c r="H241" s="6" t="s">
        <v>16</v>
      </c>
      <c r="I241" s="6"/>
      <c r="J241" s="4"/>
      <c r="K241" s="9" t="str">
        <f t="shared" si="22"/>
        <v>Румыния/Sancom/40351229043/0827pfx@</v>
      </c>
      <c r="L241" s="4" t="s">
        <v>263</v>
      </c>
    </row>
    <row r="242" spans="1:12" ht="30" hidden="1" customHeight="1" x14ac:dyDescent="0.25">
      <c r="A242" s="3" t="s">
        <v>36</v>
      </c>
      <c r="B242" s="4" t="s">
        <v>120</v>
      </c>
      <c r="C242" s="4" t="s">
        <v>9</v>
      </c>
      <c r="D242" s="6" t="s">
        <v>271</v>
      </c>
      <c r="E242" s="4" t="str">
        <f t="shared" si="23"/>
        <v>40351229043</v>
      </c>
      <c r="F242" s="4" t="s">
        <v>269</v>
      </c>
      <c r="G242" s="4" t="s">
        <v>48</v>
      </c>
      <c r="H242" s="6"/>
      <c r="I242" s="6"/>
      <c r="J242" s="4"/>
      <c r="K242" s="9" t="str">
        <f t="shared" si="22"/>
        <v>Румыния/Miatel/40351229043@</v>
      </c>
      <c r="L242" s="4" t="s">
        <v>263</v>
      </c>
    </row>
    <row r="243" spans="1:12" ht="30" hidden="1" customHeight="1" x14ac:dyDescent="0.25">
      <c r="A243" s="3" t="s">
        <v>36</v>
      </c>
      <c r="B243" s="4" t="s">
        <v>120</v>
      </c>
      <c r="C243" s="4" t="s">
        <v>8</v>
      </c>
      <c r="D243" s="6" t="s">
        <v>271</v>
      </c>
      <c r="E243" s="4" t="str">
        <f t="shared" si="23"/>
        <v>40351229043</v>
      </c>
      <c r="F243" s="4" t="s">
        <v>269</v>
      </c>
      <c r="G243" s="4" t="s">
        <v>48</v>
      </c>
      <c r="H243" s="6"/>
      <c r="I243" s="6"/>
      <c r="J243" s="4"/>
      <c r="K243" s="9" t="str">
        <f t="shared" si="22"/>
        <v>Румыния/Zorra/40351229043@</v>
      </c>
      <c r="L243" s="4" t="s">
        <v>263</v>
      </c>
    </row>
    <row r="244" spans="1:12" ht="30" hidden="1" customHeight="1" x14ac:dyDescent="0.25">
      <c r="A244" s="3" t="s">
        <v>36</v>
      </c>
      <c r="B244" s="4" t="s">
        <v>120</v>
      </c>
      <c r="C244" s="4" t="s">
        <v>7</v>
      </c>
      <c r="D244" s="6" t="s">
        <v>272</v>
      </c>
      <c r="E244" s="4" t="str">
        <f t="shared" si="23"/>
        <v>40351229047</v>
      </c>
      <c r="F244" s="4" t="s">
        <v>270</v>
      </c>
      <c r="G244" s="4" t="s">
        <v>48</v>
      </c>
      <c r="H244" s="6" t="s">
        <v>12</v>
      </c>
      <c r="I244" s="6"/>
      <c r="J244" s="4"/>
      <c r="K244" s="9" t="str">
        <f t="shared" si="22"/>
        <v>Румыния/Sancom/40351229047/0789pfx@</v>
      </c>
      <c r="L244" s="4" t="s">
        <v>273</v>
      </c>
    </row>
    <row r="245" spans="1:12" ht="30" hidden="1" customHeight="1" x14ac:dyDescent="0.25">
      <c r="A245" s="3" t="s">
        <v>36</v>
      </c>
      <c r="B245" s="4" t="s">
        <v>120</v>
      </c>
      <c r="C245" s="4" t="s">
        <v>7</v>
      </c>
      <c r="D245" s="6" t="s">
        <v>272</v>
      </c>
      <c r="E245" s="4" t="str">
        <f t="shared" si="23"/>
        <v>40351229047</v>
      </c>
      <c r="F245" s="4" t="s">
        <v>270</v>
      </c>
      <c r="G245" s="4" t="s">
        <v>48</v>
      </c>
      <c r="H245" s="6" t="s">
        <v>16</v>
      </c>
      <c r="I245" s="6"/>
      <c r="J245" s="4"/>
      <c r="K245" s="9" t="str">
        <f t="shared" si="22"/>
        <v>Румыния/Sancom/40351229047/0827pfx@</v>
      </c>
      <c r="L245" s="4" t="s">
        <v>273</v>
      </c>
    </row>
    <row r="246" spans="1:12" ht="30" hidden="1" customHeight="1" x14ac:dyDescent="0.25">
      <c r="A246" s="3" t="s">
        <v>36</v>
      </c>
      <c r="B246" s="4" t="s">
        <v>120</v>
      </c>
      <c r="C246" s="4" t="s">
        <v>9</v>
      </c>
      <c r="D246" s="6" t="s">
        <v>272</v>
      </c>
      <c r="E246" s="4" t="str">
        <f t="shared" si="23"/>
        <v>40351229047</v>
      </c>
      <c r="F246" s="4" t="s">
        <v>270</v>
      </c>
      <c r="G246" s="4" t="s">
        <v>48</v>
      </c>
      <c r="H246" s="6"/>
      <c r="I246" s="6"/>
      <c r="J246" s="4"/>
      <c r="K246" s="9" t="str">
        <f t="shared" si="22"/>
        <v>Румыния/Miatel/40351229047@</v>
      </c>
      <c r="L246" s="4" t="s">
        <v>273</v>
      </c>
    </row>
    <row r="247" spans="1:12" ht="30" hidden="1" customHeight="1" x14ac:dyDescent="0.25">
      <c r="A247" s="3" t="s">
        <v>36</v>
      </c>
      <c r="B247" s="4" t="s">
        <v>120</v>
      </c>
      <c r="C247" s="4" t="s">
        <v>8</v>
      </c>
      <c r="D247" s="6" t="s">
        <v>272</v>
      </c>
      <c r="E247" s="4" t="str">
        <f t="shared" si="23"/>
        <v>40351229047</v>
      </c>
      <c r="F247" s="4" t="s">
        <v>270</v>
      </c>
      <c r="G247" s="4" t="s">
        <v>48</v>
      </c>
      <c r="H247" s="6"/>
      <c r="I247" s="6"/>
      <c r="J247" s="4"/>
      <c r="K247" s="9" t="str">
        <f t="shared" si="22"/>
        <v>Румыния/Zorra/40351229047@</v>
      </c>
      <c r="L247" s="4" t="s">
        <v>273</v>
      </c>
    </row>
    <row r="248" spans="1:12" ht="30" hidden="1" customHeight="1" x14ac:dyDescent="0.25">
      <c r="A248" s="3" t="s">
        <v>36</v>
      </c>
      <c r="B248" s="4" t="s">
        <v>120</v>
      </c>
      <c r="C248" s="4" t="s">
        <v>315</v>
      </c>
      <c r="D248" s="6" t="s">
        <v>45</v>
      </c>
      <c r="E248" s="4" t="str">
        <f t="shared" si="23"/>
        <v>RND</v>
      </c>
      <c r="F248" s="4" t="s">
        <v>51</v>
      </c>
      <c r="G248" s="4" t="s">
        <v>46</v>
      </c>
      <c r="H248" s="6"/>
      <c r="I248" s="6"/>
      <c r="J248" s="4"/>
      <c r="K248" s="9" t="str">
        <f t="shared" si="22"/>
        <v>Румыния/Lexicall/RND@</v>
      </c>
      <c r="L248" s="4"/>
    </row>
    <row r="249" spans="1:12" ht="30" hidden="1" customHeight="1" x14ac:dyDescent="0.25">
      <c r="A249" s="3" t="s">
        <v>36</v>
      </c>
      <c r="B249" s="4" t="s">
        <v>120</v>
      </c>
      <c r="C249" s="4" t="s">
        <v>9</v>
      </c>
      <c r="D249" s="6" t="s">
        <v>321</v>
      </c>
      <c r="E249" s="4" t="s">
        <v>81</v>
      </c>
      <c r="F249" s="4" t="s">
        <v>323</v>
      </c>
      <c r="G249" s="4" t="s">
        <v>48</v>
      </c>
      <c r="H249" s="6"/>
      <c r="I249" s="6"/>
      <c r="J249" s="4"/>
      <c r="K249" s="9" t="str">
        <f t="shared" si="22"/>
        <v>Румыния/Miatel/Pool_A@</v>
      </c>
      <c r="L249" s="4" t="s">
        <v>322</v>
      </c>
    </row>
    <row r="250" spans="1:12" ht="30" hidden="1" customHeight="1" x14ac:dyDescent="0.25">
      <c r="A250" s="3" t="s">
        <v>36</v>
      </c>
      <c r="B250" s="4" t="s">
        <v>120</v>
      </c>
      <c r="C250" s="4" t="s">
        <v>7</v>
      </c>
      <c r="D250" s="6" t="s">
        <v>321</v>
      </c>
      <c r="E250" s="4" t="s">
        <v>81</v>
      </c>
      <c r="F250" s="4" t="s">
        <v>323</v>
      </c>
      <c r="G250" s="4" t="s">
        <v>48</v>
      </c>
      <c r="H250" s="6" t="s">
        <v>16</v>
      </c>
      <c r="I250" s="6"/>
      <c r="J250" s="4"/>
      <c r="K250" s="9" t="str">
        <f t="shared" si="22"/>
        <v>Румыния/Sancom/Pool_A/0827pfx@</v>
      </c>
      <c r="L250" s="4" t="s">
        <v>322</v>
      </c>
    </row>
    <row r="251" spans="1:12" ht="30" hidden="1" customHeight="1" x14ac:dyDescent="0.25">
      <c r="A251" s="3" t="s">
        <v>343</v>
      </c>
      <c r="B251" s="4" t="s">
        <v>120</v>
      </c>
      <c r="C251" s="4" t="s">
        <v>9</v>
      </c>
      <c r="D251" s="6" t="s">
        <v>45</v>
      </c>
      <c r="E251" s="4" t="str">
        <f t="shared" ref="E251:E258" si="24">IF(D251="Random","RND",IF(LEN(D251)&gt;15,"Укоротить",IF(D251="Сим-карты","SIM",D251)))</f>
        <v>RND</v>
      </c>
      <c r="F251" s="4" t="s">
        <v>51</v>
      </c>
      <c r="G251" s="4" t="s">
        <v>46</v>
      </c>
      <c r="H251" s="6"/>
      <c r="I251" s="6"/>
      <c r="J251" s="4" t="s">
        <v>88</v>
      </c>
      <c r="K251" s="9" t="str">
        <f>IF(OR(E251="Укоротить",E251=0),"Нет номера",A251&amp;IF(ISBLANK(I251),"",$K$3&amp;I251)&amp;$K$3&amp;C251&amp;$K$3&amp;E251&amp;IF(ISBLANK(H251),"",$K$3&amp;H251&amp;"pfx")&amp;"@")</f>
        <v>Сальвадор/Miatel/RND@</v>
      </c>
      <c r="L251" s="4"/>
    </row>
    <row r="252" spans="1:12" ht="30" hidden="1" customHeight="1" x14ac:dyDescent="0.25">
      <c r="A252" s="3" t="s">
        <v>343</v>
      </c>
      <c r="B252" s="4" t="s">
        <v>120</v>
      </c>
      <c r="C252" s="4" t="s">
        <v>7</v>
      </c>
      <c r="D252" s="6" t="s">
        <v>45</v>
      </c>
      <c r="E252" s="4" t="str">
        <f t="shared" si="24"/>
        <v>RND</v>
      </c>
      <c r="F252" s="4" t="s">
        <v>51</v>
      </c>
      <c r="G252" s="4" t="s">
        <v>46</v>
      </c>
      <c r="H252" s="6"/>
      <c r="I252" s="6"/>
      <c r="J252" s="4" t="s">
        <v>88</v>
      </c>
      <c r="K252" s="9" t="str">
        <f>IF(OR(E252="Укоротить",E252=0),"Нет номера",A252&amp;IF(ISBLANK(I252),"",$K$3&amp;I252)&amp;$K$3&amp;C252&amp;$K$3&amp;E252&amp;IF(ISBLANK(H252),"",$K$3&amp;H252&amp;"pfx")&amp;"@")</f>
        <v>Сальвадор/Sancom/RND@</v>
      </c>
      <c r="L252" s="4"/>
    </row>
    <row r="253" spans="1:12" ht="30" hidden="1" customHeight="1" x14ac:dyDescent="0.25">
      <c r="A253" s="3" t="s">
        <v>343</v>
      </c>
      <c r="B253" s="4" t="s">
        <v>120</v>
      </c>
      <c r="C253" s="4" t="s">
        <v>8</v>
      </c>
      <c r="D253" s="6" t="s">
        <v>45</v>
      </c>
      <c r="E253" s="4" t="str">
        <f t="shared" si="24"/>
        <v>RND</v>
      </c>
      <c r="F253" s="4" t="s">
        <v>51</v>
      </c>
      <c r="G253" s="4" t="s">
        <v>46</v>
      </c>
      <c r="H253" s="6"/>
      <c r="I253" s="6"/>
      <c r="J253" s="4" t="s">
        <v>88</v>
      </c>
      <c r="K253" s="9" t="str">
        <f>IF(OR(E253="Укоротить",E253=0),"Нет номера",A253&amp;IF(ISBLANK(I253),"",$K$3&amp;I253)&amp;$K$3&amp;C253&amp;$K$3&amp;E253&amp;IF(ISBLANK(H253),"",$K$3&amp;H253&amp;"pfx")&amp;"@")</f>
        <v>Сальвадор/Zorra/RND@</v>
      </c>
      <c r="L253" s="4"/>
    </row>
    <row r="254" spans="1:12" ht="30" hidden="1" customHeight="1" x14ac:dyDescent="0.25">
      <c r="A254" s="3" t="s">
        <v>343</v>
      </c>
      <c r="B254" s="4" t="s">
        <v>120</v>
      </c>
      <c r="C254" s="4" t="s">
        <v>11</v>
      </c>
      <c r="D254" s="6" t="s">
        <v>50</v>
      </c>
      <c r="E254" s="4" t="str">
        <f t="shared" si="24"/>
        <v>SIM</v>
      </c>
      <c r="F254" s="4"/>
      <c r="G254" s="4"/>
      <c r="H254" s="6"/>
      <c r="I254" s="6"/>
      <c r="J254" s="4"/>
      <c r="K254" s="9" t="str">
        <f>IF(OR(E254="Укоротить",E254=0),"Нет номера",A254&amp;IF(ISBLANK(I254),"",$K$3&amp;I254)&amp;$K$3&amp;C254&amp;$K$3&amp;E254&amp;IF(ISBLANK(H254),"",$K$3&amp;H254&amp;"pfx")&amp;"@")</f>
        <v>Сальвадор/Шлюз/SIM@</v>
      </c>
      <c r="L254" s="4"/>
    </row>
    <row r="255" spans="1:12" ht="30" hidden="1" customHeight="1" x14ac:dyDescent="0.25">
      <c r="A255" s="3" t="s">
        <v>277</v>
      </c>
      <c r="B255" s="4" t="s">
        <v>120</v>
      </c>
      <c r="C255" s="4" t="s">
        <v>9</v>
      </c>
      <c r="D255" s="6" t="s">
        <v>45</v>
      </c>
      <c r="E255" s="4" t="str">
        <f t="shared" si="24"/>
        <v>RND</v>
      </c>
      <c r="F255" s="4" t="s">
        <v>51</v>
      </c>
      <c r="G255" s="4" t="s">
        <v>46</v>
      </c>
      <c r="H255" s="6"/>
      <c r="I255" s="6"/>
      <c r="J255" s="4" t="s">
        <v>88</v>
      </c>
      <c r="K255" s="9" t="str">
        <f t="shared" si="22"/>
        <v>Сербия/Miatel/RND@</v>
      </c>
      <c r="L255" s="4"/>
    </row>
    <row r="256" spans="1:12" ht="30" hidden="1" customHeight="1" x14ac:dyDescent="0.25">
      <c r="A256" s="3" t="s">
        <v>277</v>
      </c>
      <c r="B256" s="4" t="s">
        <v>120</v>
      </c>
      <c r="C256" s="4" t="s">
        <v>7</v>
      </c>
      <c r="D256" s="6" t="s">
        <v>45</v>
      </c>
      <c r="E256" s="4" t="str">
        <f t="shared" si="24"/>
        <v>RND</v>
      </c>
      <c r="F256" s="4" t="s">
        <v>51</v>
      </c>
      <c r="G256" s="4" t="s">
        <v>46</v>
      </c>
      <c r="H256" s="6" t="s">
        <v>12</v>
      </c>
      <c r="I256" s="6"/>
      <c r="J256" s="4" t="s">
        <v>88</v>
      </c>
      <c r="K256" s="9" t="str">
        <f t="shared" si="22"/>
        <v>Сербия/Sancom/RND/0789pfx@</v>
      </c>
      <c r="L256" s="4"/>
    </row>
    <row r="257" spans="1:12" ht="36.75" hidden="1" customHeight="1" x14ac:dyDescent="0.25">
      <c r="A257" s="3" t="s">
        <v>277</v>
      </c>
      <c r="B257" s="4" t="s">
        <v>120</v>
      </c>
      <c r="C257" s="4" t="s">
        <v>8</v>
      </c>
      <c r="D257" s="6" t="s">
        <v>45</v>
      </c>
      <c r="E257" s="4" t="str">
        <f t="shared" si="24"/>
        <v>RND</v>
      </c>
      <c r="F257" s="4" t="s">
        <v>51</v>
      </c>
      <c r="G257" s="4" t="s">
        <v>46</v>
      </c>
      <c r="H257" s="6"/>
      <c r="I257" s="6"/>
      <c r="J257" s="4" t="s">
        <v>88</v>
      </c>
      <c r="K257" s="9" t="str">
        <f t="shared" si="22"/>
        <v>Сербия/Zorra/RND@</v>
      </c>
      <c r="L257" s="4"/>
    </row>
    <row r="258" spans="1:12" ht="30" hidden="1" customHeight="1" x14ac:dyDescent="0.25">
      <c r="A258" s="3" t="s">
        <v>277</v>
      </c>
      <c r="B258" s="4" t="s">
        <v>120</v>
      </c>
      <c r="C258" s="4" t="s">
        <v>11</v>
      </c>
      <c r="D258" s="6" t="s">
        <v>50</v>
      </c>
      <c r="E258" s="4" t="str">
        <f t="shared" si="24"/>
        <v>SIM</v>
      </c>
      <c r="F258" s="4"/>
      <c r="G258" s="4"/>
      <c r="H258" s="6"/>
      <c r="I258" s="6"/>
      <c r="J258" s="4"/>
      <c r="K258" s="9" t="str">
        <f t="shared" si="22"/>
        <v>Сербия/Шлюз/SIM@</v>
      </c>
      <c r="L258" s="4"/>
    </row>
    <row r="259" spans="1:12" ht="30" hidden="1" customHeight="1" x14ac:dyDescent="0.25">
      <c r="A259" s="25" t="s">
        <v>37</v>
      </c>
      <c r="B259" s="22" t="s">
        <v>120</v>
      </c>
      <c r="C259" s="22" t="s">
        <v>7</v>
      </c>
      <c r="D259" s="23" t="s">
        <v>99</v>
      </c>
      <c r="E259" s="22" t="s">
        <v>81</v>
      </c>
      <c r="F259" s="22" t="s">
        <v>167</v>
      </c>
      <c r="G259" s="22" t="s">
        <v>48</v>
      </c>
      <c r="H259" s="23" t="s">
        <v>12</v>
      </c>
      <c r="I259" s="23"/>
      <c r="J259" s="22"/>
      <c r="K259" s="24" t="str">
        <f t="shared" si="22"/>
        <v>Сингапур/Sancom/Pool_A/0789pfx@</v>
      </c>
      <c r="L259" s="22"/>
    </row>
    <row r="260" spans="1:12" ht="30" hidden="1" customHeight="1" x14ac:dyDescent="0.25">
      <c r="A260" s="32" t="s">
        <v>37</v>
      </c>
      <c r="B260" s="33" t="s">
        <v>120</v>
      </c>
      <c r="C260" s="33" t="s">
        <v>7</v>
      </c>
      <c r="D260" s="34" t="s">
        <v>99</v>
      </c>
      <c r="E260" s="33" t="s">
        <v>81</v>
      </c>
      <c r="F260" s="33" t="s">
        <v>167</v>
      </c>
      <c r="G260" s="33" t="s">
        <v>48</v>
      </c>
      <c r="H260" s="34" t="s">
        <v>16</v>
      </c>
      <c r="I260" s="34"/>
      <c r="J260" s="33"/>
      <c r="K260" s="35" t="str">
        <f t="shared" si="22"/>
        <v>Сингапур/Sancom/Pool_A/0827pfx@</v>
      </c>
      <c r="L260" s="33"/>
    </row>
    <row r="261" spans="1:12" ht="30" hidden="1" customHeight="1" x14ac:dyDescent="0.25">
      <c r="A261" s="25" t="s">
        <v>37</v>
      </c>
      <c r="B261" s="22" t="s">
        <v>120</v>
      </c>
      <c r="C261" s="22" t="s">
        <v>7</v>
      </c>
      <c r="D261" s="23" t="s">
        <v>45</v>
      </c>
      <c r="E261" s="22" t="s">
        <v>80</v>
      </c>
      <c r="F261" s="22" t="s">
        <v>51</v>
      </c>
      <c r="G261" s="22" t="s">
        <v>46</v>
      </c>
      <c r="H261" s="23" t="s">
        <v>12</v>
      </c>
      <c r="I261" s="23"/>
      <c r="J261" s="22" t="s">
        <v>88</v>
      </c>
      <c r="K261" s="24" t="str">
        <f t="shared" si="22"/>
        <v>Сингапур/Sancom/RND/0789pfx@</v>
      </c>
      <c r="L261" s="4"/>
    </row>
    <row r="262" spans="1:12" ht="30" hidden="1" customHeight="1" x14ac:dyDescent="0.25">
      <c r="A262" s="3" t="s">
        <v>37</v>
      </c>
      <c r="B262" s="4" t="s">
        <v>120</v>
      </c>
      <c r="C262" s="4" t="s">
        <v>368</v>
      </c>
      <c r="D262" s="6" t="s">
        <v>45</v>
      </c>
      <c r="E262" s="4" t="s">
        <v>80</v>
      </c>
      <c r="F262" s="4" t="s">
        <v>51</v>
      </c>
      <c r="G262" s="4" t="s">
        <v>46</v>
      </c>
      <c r="H262" s="6" t="s">
        <v>392</v>
      </c>
      <c r="I262"/>
      <c r="J262" s="4" t="s">
        <v>391</v>
      </c>
      <c r="K262" s="9" t="str">
        <f>IF(OR(E262="Укоротить",E262=0),"Нет номера",A262&amp;IF(ISBLANK(I262),"",$K$3&amp;I262)&amp;$K$3&amp;C262&amp;$K$3&amp;E262&amp;IF(ISBLANK(H262),"",$K$3&amp;H262&amp;"pfx")&amp;"@")</f>
        <v>Сингапур/AOneVoip/RND/01994pfx@</v>
      </c>
      <c r="L262" s="26"/>
    </row>
    <row r="263" spans="1:12" ht="30" hidden="1" customHeight="1" x14ac:dyDescent="0.25">
      <c r="A263" s="3" t="s">
        <v>37</v>
      </c>
      <c r="B263" s="4" t="s">
        <v>120</v>
      </c>
      <c r="C263" s="4" t="s">
        <v>9</v>
      </c>
      <c r="D263" s="6" t="s">
        <v>45</v>
      </c>
      <c r="E263" s="4" t="s">
        <v>80</v>
      </c>
      <c r="F263" s="4" t="s">
        <v>51</v>
      </c>
      <c r="G263" s="4" t="s">
        <v>46</v>
      </c>
      <c r="H263"/>
      <c r="I263"/>
      <c r="J263" s="4" t="s">
        <v>393</v>
      </c>
      <c r="K263" s="9" t="str">
        <f>IF(OR(E263="Укоротить",E263=0),"Нет номера",A263&amp;IF(ISBLANK(I263),"",$K$3&amp;I263)&amp;$K$3&amp;C263&amp;$K$3&amp;E263&amp;IF(ISBLANK(H263),"",$K$3&amp;H263&amp;"pfx")&amp;"@")</f>
        <v>Сингапур/Miatel/RND@</v>
      </c>
      <c r="L263" s="26"/>
    </row>
    <row r="264" spans="1:12" ht="30" hidden="1" customHeight="1" x14ac:dyDescent="0.25">
      <c r="A264" s="3" t="s">
        <v>37</v>
      </c>
      <c r="B264" s="4" t="s">
        <v>120</v>
      </c>
      <c r="C264" s="4" t="s">
        <v>7</v>
      </c>
      <c r="D264" s="6" t="s">
        <v>45</v>
      </c>
      <c r="E264" s="4" t="s">
        <v>80</v>
      </c>
      <c r="F264" s="4" t="s">
        <v>51</v>
      </c>
      <c r="G264" s="4" t="s">
        <v>46</v>
      </c>
      <c r="H264" s="6" t="s">
        <v>16</v>
      </c>
      <c r="I264" s="6"/>
      <c r="J264" s="4" t="s">
        <v>88</v>
      </c>
      <c r="K264" s="9" t="str">
        <f t="shared" si="22"/>
        <v>Сингапур/Sancom/RND/0827pfx@</v>
      </c>
      <c r="L264" s="4"/>
    </row>
    <row r="265" spans="1:12" ht="30" hidden="1" customHeight="1" x14ac:dyDescent="0.25">
      <c r="A265" s="25" t="s">
        <v>37</v>
      </c>
      <c r="B265" s="22" t="s">
        <v>120</v>
      </c>
      <c r="C265" s="22" t="s">
        <v>8</v>
      </c>
      <c r="D265" s="23" t="s">
        <v>99</v>
      </c>
      <c r="E265" s="22" t="s">
        <v>81</v>
      </c>
      <c r="F265" s="22" t="s">
        <v>167</v>
      </c>
      <c r="G265" s="22" t="s">
        <v>48</v>
      </c>
      <c r="H265" s="23"/>
      <c r="I265" s="23"/>
      <c r="J265" s="22"/>
      <c r="K265" s="24" t="str">
        <f t="shared" si="22"/>
        <v>Сингапур/Zorra/Pool_A@</v>
      </c>
      <c r="L265" s="4"/>
    </row>
    <row r="266" spans="1:12" ht="30" hidden="1" customHeight="1" x14ac:dyDescent="0.25">
      <c r="A266" s="3" t="s">
        <v>37</v>
      </c>
      <c r="B266" s="4" t="s">
        <v>120</v>
      </c>
      <c r="C266" s="4" t="s">
        <v>8</v>
      </c>
      <c r="D266" s="6" t="s">
        <v>45</v>
      </c>
      <c r="E266" s="4" t="s">
        <v>80</v>
      </c>
      <c r="F266" s="4" t="s">
        <v>51</v>
      </c>
      <c r="G266" s="4" t="s">
        <v>46</v>
      </c>
      <c r="H266" s="6"/>
      <c r="I266" s="6"/>
      <c r="J266" s="4" t="s">
        <v>88</v>
      </c>
      <c r="K266" s="9" t="str">
        <f t="shared" si="22"/>
        <v>Сингапур/Zorra/RND@</v>
      </c>
      <c r="L266" s="4"/>
    </row>
    <row r="267" spans="1:12" ht="30" hidden="1" customHeight="1" x14ac:dyDescent="0.25">
      <c r="A267" s="25" t="s">
        <v>37</v>
      </c>
      <c r="B267" s="22" t="s">
        <v>120</v>
      </c>
      <c r="C267" s="22" t="s">
        <v>9</v>
      </c>
      <c r="D267" s="23" t="s">
        <v>99</v>
      </c>
      <c r="E267" s="22" t="s">
        <v>81</v>
      </c>
      <c r="F267" s="22" t="s">
        <v>167</v>
      </c>
      <c r="G267" s="22" t="s">
        <v>46</v>
      </c>
      <c r="H267" s="23"/>
      <c r="I267" s="23"/>
      <c r="J267" s="22"/>
      <c r="K267" s="24" t="str">
        <f t="shared" si="22"/>
        <v>Сингапур/Miatel/Pool_A@</v>
      </c>
      <c r="L267" s="4"/>
    </row>
    <row r="268" spans="1:12" ht="30" hidden="1" customHeight="1" x14ac:dyDescent="0.25">
      <c r="A268" s="3" t="s">
        <v>38</v>
      </c>
      <c r="B268" s="4" t="s">
        <v>120</v>
      </c>
      <c r="C268" s="4" t="s">
        <v>9</v>
      </c>
      <c r="D268" s="6" t="s">
        <v>45</v>
      </c>
      <c r="E268" s="4" t="str">
        <f>IF(D268="Random","RND",IF(LEN(D268)&gt;15,"Укоротить",IF(D268="Сим-карты","SIM",D268)))</f>
        <v>RND</v>
      </c>
      <c r="F268" s="4" t="s">
        <v>51</v>
      </c>
      <c r="G268" s="4" t="s">
        <v>46</v>
      </c>
      <c r="H268" s="6"/>
      <c r="I268" s="6"/>
      <c r="J268" s="4" t="s">
        <v>88</v>
      </c>
      <c r="K268" s="9" t="str">
        <f t="shared" si="22"/>
        <v>Словакия/Miatel/RND@</v>
      </c>
      <c r="L268" s="4"/>
    </row>
    <row r="269" spans="1:12" ht="30" hidden="1" customHeight="1" x14ac:dyDescent="0.25">
      <c r="A269" s="3" t="s">
        <v>38</v>
      </c>
      <c r="B269" s="4" t="s">
        <v>120</v>
      </c>
      <c r="C269" s="4" t="s">
        <v>7</v>
      </c>
      <c r="D269" s="6" t="s">
        <v>45</v>
      </c>
      <c r="E269" s="4" t="str">
        <f>IF(D269="Random","RND",IF(LEN(D269)&gt;15,"Укоротить",IF(D269="Сим-карты","SIM",D269)))</f>
        <v>RND</v>
      </c>
      <c r="F269" s="4" t="s">
        <v>51</v>
      </c>
      <c r="G269" s="4" t="s">
        <v>46</v>
      </c>
      <c r="H269" s="6" t="s">
        <v>16</v>
      </c>
      <c r="I269" s="6"/>
      <c r="J269" s="4" t="s">
        <v>88</v>
      </c>
      <c r="K269" s="9" t="str">
        <f t="shared" si="22"/>
        <v>Словакия/Sancom/RND/0827pfx@</v>
      </c>
      <c r="L269" s="4"/>
    </row>
    <row r="270" spans="1:12" ht="30" hidden="1" customHeight="1" x14ac:dyDescent="0.25">
      <c r="A270" s="3" t="s">
        <v>38</v>
      </c>
      <c r="B270" s="4" t="s">
        <v>120</v>
      </c>
      <c r="C270" s="4" t="s">
        <v>315</v>
      </c>
      <c r="D270" s="6" t="s">
        <v>45</v>
      </c>
      <c r="E270" s="4" t="str">
        <f>IF(D270="Random","RND",IF(LEN(D270)&gt;15,"Укоротить",IF(D270="Сим-карты","SIM",D270)))</f>
        <v>RND</v>
      </c>
      <c r="F270" s="4" t="s">
        <v>51</v>
      </c>
      <c r="G270" s="4" t="s">
        <v>46</v>
      </c>
      <c r="H270" s="6"/>
      <c r="I270" s="6"/>
      <c r="J270" s="4"/>
      <c r="K270" s="9" t="str">
        <f t="shared" si="22"/>
        <v>Словакия/Lexicall/RND@</v>
      </c>
      <c r="L270" s="4"/>
    </row>
    <row r="271" spans="1:12" ht="30" hidden="1" customHeight="1" x14ac:dyDescent="0.25">
      <c r="A271" s="3" t="s">
        <v>38</v>
      </c>
      <c r="B271" s="4" t="s">
        <v>120</v>
      </c>
      <c r="C271" s="4" t="s">
        <v>357</v>
      </c>
      <c r="D271" s="6" t="s">
        <v>45</v>
      </c>
      <c r="E271" s="4" t="str">
        <f>IF(D271="Random","RND",IF(LEN(D271)&gt;15,"Укоротить",IF(D271="Сим-карты","SIM",D271)))</f>
        <v>RND</v>
      </c>
      <c r="F271" s="4" t="s">
        <v>51</v>
      </c>
      <c r="G271" s="4" t="s">
        <v>46</v>
      </c>
      <c r="H271" s="6"/>
      <c r="I271" s="6"/>
      <c r="J271" s="4"/>
      <c r="K271" s="9" t="str">
        <f>IF(OR(E271="Укоротить",E271=0),"Нет номера",A271&amp;IF(ISBLANK(I271),"",$K$3&amp;I271)&amp;$K$3&amp;C271&amp;$K$3&amp;E271&amp;IF(ISBLANK(H271),"",$K$3&amp;H271&amp;"pfx")&amp;"@")</f>
        <v>Словакия/Intergo/RND@</v>
      </c>
      <c r="L271" s="4"/>
    </row>
    <row r="272" spans="1:12" ht="30" hidden="1" customHeight="1" x14ac:dyDescent="0.25">
      <c r="A272" s="3" t="s">
        <v>90</v>
      </c>
      <c r="B272" s="4" t="s">
        <v>120</v>
      </c>
      <c r="C272" s="4" t="s">
        <v>9</v>
      </c>
      <c r="D272" s="6" t="s">
        <v>403</v>
      </c>
      <c r="E272" s="4" t="s">
        <v>81</v>
      </c>
      <c r="F272" s="4" t="s">
        <v>249</v>
      </c>
      <c r="G272" s="4" t="s">
        <v>46</v>
      </c>
      <c r="H272" s="6"/>
      <c r="I272" s="6"/>
      <c r="J272" s="4"/>
      <c r="K272" s="9" t="str">
        <f t="shared" si="22"/>
        <v>Словения/Miatel/Pool_A@</v>
      </c>
      <c r="L272" s="4" t="s">
        <v>250</v>
      </c>
    </row>
    <row r="273" spans="1:12" ht="30" hidden="1" customHeight="1" x14ac:dyDescent="0.25">
      <c r="A273" s="3" t="s">
        <v>90</v>
      </c>
      <c r="B273" s="4" t="s">
        <v>120</v>
      </c>
      <c r="C273" s="4" t="s">
        <v>7</v>
      </c>
      <c r="D273" s="6" t="s">
        <v>45</v>
      </c>
      <c r="E273" s="4" t="str">
        <f>IF(D273="Random","RND",IF(LEN(D273)&gt;15,"Укоротить",IF(D273="Сим-карты","SIM",D273)))</f>
        <v>RND</v>
      </c>
      <c r="F273" s="4" t="s">
        <v>51</v>
      </c>
      <c r="G273" s="4" t="s">
        <v>46</v>
      </c>
      <c r="H273" s="6" t="s">
        <v>12</v>
      </c>
      <c r="I273" s="6"/>
      <c r="J273" s="4" t="s">
        <v>88</v>
      </c>
      <c r="K273" s="9" t="str">
        <f t="shared" si="22"/>
        <v>Словения/Sancom/RND/0789pfx@</v>
      </c>
      <c r="L273" s="4"/>
    </row>
    <row r="274" spans="1:12" ht="30" hidden="1" customHeight="1" x14ac:dyDescent="0.25">
      <c r="A274" s="3" t="s">
        <v>90</v>
      </c>
      <c r="B274" s="4" t="s">
        <v>120</v>
      </c>
      <c r="C274" s="4" t="s">
        <v>280</v>
      </c>
      <c r="D274" s="6" t="s">
        <v>45</v>
      </c>
      <c r="E274" s="4" t="str">
        <f>IF(D274="Random","RND",IF(LEN(D274)&gt;15,"Укоротить",IF(D274="Сим-карты","SIM",D274)))</f>
        <v>RND</v>
      </c>
      <c r="F274" s="4" t="s">
        <v>51</v>
      </c>
      <c r="G274" s="4" t="s">
        <v>46</v>
      </c>
      <c r="H274" s="6"/>
      <c r="I274" s="6"/>
      <c r="J274" s="4" t="s">
        <v>88</v>
      </c>
      <c r="K274" s="9" t="str">
        <f t="shared" si="22"/>
        <v>Словения/UniTalk/RND@</v>
      </c>
      <c r="L274" s="4"/>
    </row>
    <row r="275" spans="1:12" ht="30" hidden="1" customHeight="1" x14ac:dyDescent="0.25">
      <c r="A275" s="3" t="s">
        <v>90</v>
      </c>
      <c r="B275" s="4" t="s">
        <v>120</v>
      </c>
      <c r="C275" s="4" t="s">
        <v>8</v>
      </c>
      <c r="D275" s="6" t="s">
        <v>45</v>
      </c>
      <c r="E275" s="4" t="str">
        <f>IF(D275="Random","RND",IF(LEN(D275)&gt;15,"Укоротить",IF(D275="Сим-карты","SIM",D275)))</f>
        <v>RND</v>
      </c>
      <c r="F275" s="4" t="s">
        <v>51</v>
      </c>
      <c r="G275" s="4" t="s">
        <v>46</v>
      </c>
      <c r="H275" s="6"/>
      <c r="I275" s="6"/>
      <c r="J275" s="4" t="s">
        <v>88</v>
      </c>
      <c r="K275" s="9" t="str">
        <f t="shared" si="22"/>
        <v>Словения/Zorra/RND@</v>
      </c>
      <c r="L275" s="4"/>
    </row>
    <row r="276" spans="1:12" ht="30" hidden="1" customHeight="1" x14ac:dyDescent="0.25">
      <c r="A276" s="3" t="s">
        <v>90</v>
      </c>
      <c r="B276" s="4" t="s">
        <v>120</v>
      </c>
      <c r="C276" s="4" t="s">
        <v>10</v>
      </c>
      <c r="D276" s="6" t="s">
        <v>299</v>
      </c>
      <c r="E276" s="4" t="s">
        <v>81</v>
      </c>
      <c r="F276" s="4" t="s">
        <v>51</v>
      </c>
      <c r="G276" s="4" t="s">
        <v>46</v>
      </c>
      <c r="H276" s="6"/>
      <c r="I276" s="6"/>
      <c r="J276" s="4"/>
      <c r="K276" s="9" t="str">
        <f t="shared" si="22"/>
        <v>Словения/Inftele/Pool_A@</v>
      </c>
      <c r="L276" s="4" t="s">
        <v>314</v>
      </c>
    </row>
    <row r="277" spans="1:12" ht="30" hidden="1" customHeight="1" x14ac:dyDescent="0.25">
      <c r="A277" s="3" t="s">
        <v>344</v>
      </c>
      <c r="B277" s="4" t="s">
        <v>120</v>
      </c>
      <c r="C277" s="4" t="s">
        <v>7</v>
      </c>
      <c r="D277" s="6" t="s">
        <v>45</v>
      </c>
      <c r="E277" s="4" t="str">
        <f>IF(D277="Random","RND",IF(LEN(D277)&gt;15,"Укоротить",IF(D277="Сим-карты","SIM",D277)))</f>
        <v>RND</v>
      </c>
      <c r="F277" s="4" t="s">
        <v>51</v>
      </c>
      <c r="G277" s="4" t="s">
        <v>46</v>
      </c>
      <c r="H277" s="6" t="s">
        <v>16</v>
      </c>
      <c r="I277" s="6"/>
      <c r="J277" s="4" t="s">
        <v>88</v>
      </c>
      <c r="K277" s="9" t="str">
        <f>IF(OR(E277="Укоротить",E277=0),"Нет номера",A277&amp;IF(ISBLANK(I277),"",$K$3&amp;I277)&amp;$K$3&amp;C277&amp;$K$3&amp;E277&amp;IF(ISBLANK(H277),"",$K$3&amp;H277&amp;"pfx")&amp;"@")</f>
        <v>США/Sancom/RND/0827pfx@</v>
      </c>
      <c r="L277" s="4"/>
    </row>
    <row r="278" spans="1:12" ht="30" hidden="1" customHeight="1" x14ac:dyDescent="0.25">
      <c r="A278" s="3" t="s">
        <v>344</v>
      </c>
      <c r="B278" s="4" t="s">
        <v>120</v>
      </c>
      <c r="C278" s="4" t="s">
        <v>7</v>
      </c>
      <c r="D278" s="6" t="s">
        <v>45</v>
      </c>
      <c r="E278" s="4" t="str">
        <f>IF(D278="Random","RND",IF(LEN(D278)&gt;15,"Укоротить",IF(D278="Сим-карты","SIM",D278)))</f>
        <v>RND</v>
      </c>
      <c r="F278" s="4" t="s">
        <v>51</v>
      </c>
      <c r="G278" s="4" t="s">
        <v>46</v>
      </c>
      <c r="H278" s="6" t="s">
        <v>12</v>
      </c>
      <c r="I278" s="6"/>
      <c r="J278" s="4" t="s">
        <v>348</v>
      </c>
      <c r="K278" s="9" t="str">
        <f>IF(OR(E278="Укоротить",E278=0),"Нет номера",A278&amp;IF(ISBLANK(I278),"",$K$3&amp;I278)&amp;$K$3&amp;C278&amp;$K$3&amp;E278&amp;IF(ISBLANK(H278),"",$K$3&amp;H278&amp;"pfx")&amp;"@")</f>
        <v>США/Sancom/RND/0789pfx@</v>
      </c>
      <c r="L278" s="4"/>
    </row>
    <row r="279" spans="1:12" ht="30" hidden="1" customHeight="1" x14ac:dyDescent="0.25">
      <c r="A279" s="3" t="s">
        <v>344</v>
      </c>
      <c r="B279" s="4" t="s">
        <v>120</v>
      </c>
      <c r="C279" s="4" t="s">
        <v>9</v>
      </c>
      <c r="D279" s="6" t="s">
        <v>45</v>
      </c>
      <c r="E279" s="4" t="str">
        <f>IF(D279="Random","RND",IF(LEN(D279)&gt;15,"Укоротить",IF(D279="Сим-карты","SIM",D279)))</f>
        <v>RND</v>
      </c>
      <c r="F279" s="4" t="s">
        <v>51</v>
      </c>
      <c r="G279" s="4" t="s">
        <v>46</v>
      </c>
      <c r="H279" s="6"/>
      <c r="I279" s="6"/>
      <c r="J279" s="4" t="s">
        <v>345</v>
      </c>
      <c r="K279" s="9" t="str">
        <f>IF(OR(E279="Укоротить",E279=0),"Нет номера",A279&amp;IF(ISBLANK(I279),"",$K$3&amp;I279)&amp;$K$3&amp;C279&amp;$K$3&amp;E279&amp;IF(ISBLANK(H279),"",$K$3&amp;H279&amp;"pfx")&amp;"@")</f>
        <v>США/Miatel/RND@</v>
      </c>
      <c r="L279" s="4"/>
    </row>
    <row r="280" spans="1:12" ht="30" hidden="1" customHeight="1" x14ac:dyDescent="0.25">
      <c r="A280" s="3" t="s">
        <v>344</v>
      </c>
      <c r="B280" s="4" t="s">
        <v>120</v>
      </c>
      <c r="C280" s="4" t="s">
        <v>363</v>
      </c>
      <c r="D280" s="6" t="s">
        <v>45</v>
      </c>
      <c r="E280" s="4" t="str">
        <f>IF(D280="Random","RND",IF(LEN(D280)&gt;15,"Укоротить",IF(D280="Сим-карты","SIM",D280)))</f>
        <v>RND</v>
      </c>
      <c r="F280" s="4"/>
      <c r="G280" s="4" t="s">
        <v>46</v>
      </c>
      <c r="H280" s="6"/>
      <c r="I280" s="6"/>
      <c r="J280" s="4" t="s">
        <v>88</v>
      </c>
      <c r="K280" s="9" t="str">
        <f>IF(OR(E280="Укоротить",E280=0),"Нет номера",A280&amp;IF(ISBLANK(I280),"",$K$3&amp;I280)&amp;$K$3&amp;C280&amp;$K$3&amp;E280&amp;IF(ISBLANK(H280),"",$K$3&amp;H280&amp;"pfx")&amp;"@")</f>
        <v>США/Twilio/RND@</v>
      </c>
      <c r="L280" s="4"/>
    </row>
    <row r="281" spans="1:12" ht="30" hidden="1" customHeight="1" x14ac:dyDescent="0.25">
      <c r="A281" s="3" t="s">
        <v>344</v>
      </c>
      <c r="B281" s="4" t="s">
        <v>120</v>
      </c>
      <c r="C281" s="4" t="s">
        <v>8</v>
      </c>
      <c r="D281" s="6" t="s">
        <v>350</v>
      </c>
      <c r="E281" s="4" t="s">
        <v>81</v>
      </c>
      <c r="F281" s="4" t="s">
        <v>349</v>
      </c>
      <c r="G281" s="4" t="s">
        <v>46</v>
      </c>
      <c r="H281" s="6"/>
      <c r="I281" s="6"/>
      <c r="J281" s="4" t="s">
        <v>351</v>
      </c>
      <c r="K281" s="9" t="str">
        <f>IF(OR(E281="Укоротить",E281=0),"Нет номера",A281&amp;IF(ISBLANK(I281),"",$K$3&amp;I281)&amp;$K$3&amp;C281&amp;$K$3&amp;E281&amp;IF(ISBLANK(H281),"",$K$3&amp;H281&amp;"pfx")&amp;"@")</f>
        <v>США/Zorra/Pool_A@</v>
      </c>
      <c r="L281" s="4"/>
    </row>
    <row r="282" spans="1:12" ht="30" hidden="1" customHeight="1" x14ac:dyDescent="0.25">
      <c r="A282" s="3" t="s">
        <v>209</v>
      </c>
      <c r="B282" s="4" t="s">
        <v>120</v>
      </c>
      <c r="C282" s="4" t="s">
        <v>9</v>
      </c>
      <c r="D282" s="6" t="s">
        <v>45</v>
      </c>
      <c r="E282" s="4" t="str">
        <f t="shared" ref="E282:E290" si="25">IF(D282="Random","RND",IF(LEN(D282)&gt;15,"Укоротить",IF(D282="Сим-карты","SIM",D282)))</f>
        <v>RND</v>
      </c>
      <c r="F282" s="4" t="s">
        <v>51</v>
      </c>
      <c r="G282" s="4" t="s">
        <v>46</v>
      </c>
      <c r="H282" s="6"/>
      <c r="I282" s="6"/>
      <c r="J282" s="4" t="s">
        <v>88</v>
      </c>
      <c r="K282" s="9" t="str">
        <f t="shared" si="22"/>
        <v>Танзания/Miatel/RND@</v>
      </c>
      <c r="L282" s="4"/>
    </row>
    <row r="283" spans="1:12" ht="30" hidden="1" customHeight="1" x14ac:dyDescent="0.25">
      <c r="A283" s="3" t="s">
        <v>209</v>
      </c>
      <c r="B283" s="4" t="s">
        <v>120</v>
      </c>
      <c r="C283" s="4" t="s">
        <v>7</v>
      </c>
      <c r="D283" s="6" t="s">
        <v>45</v>
      </c>
      <c r="E283" s="4" t="str">
        <f t="shared" si="25"/>
        <v>RND</v>
      </c>
      <c r="F283" s="4" t="s">
        <v>51</v>
      </c>
      <c r="G283" s="4" t="s">
        <v>46</v>
      </c>
      <c r="H283" s="6" t="s">
        <v>16</v>
      </c>
      <c r="I283" s="6"/>
      <c r="J283" s="4" t="s">
        <v>91</v>
      </c>
      <c r="K283" s="9" t="str">
        <f t="shared" si="22"/>
        <v>Танзания/Sancom/RND/0827pfx@</v>
      </c>
      <c r="L283" s="4"/>
    </row>
    <row r="284" spans="1:12" ht="30" hidden="1" customHeight="1" x14ac:dyDescent="0.25">
      <c r="A284" s="3" t="s">
        <v>209</v>
      </c>
      <c r="B284" s="4" t="s">
        <v>120</v>
      </c>
      <c r="C284" s="4" t="s">
        <v>8</v>
      </c>
      <c r="D284" s="6" t="s">
        <v>45</v>
      </c>
      <c r="E284" s="4" t="str">
        <f t="shared" si="25"/>
        <v>RND</v>
      </c>
      <c r="F284" s="4" t="s">
        <v>51</v>
      </c>
      <c r="G284" s="4" t="s">
        <v>46</v>
      </c>
      <c r="H284" s="6"/>
      <c r="I284" s="6"/>
      <c r="J284" s="4" t="s">
        <v>88</v>
      </c>
      <c r="K284" s="9" t="str">
        <f t="shared" si="22"/>
        <v>Танзания/Zorra/RND@</v>
      </c>
      <c r="L284" s="4"/>
    </row>
    <row r="285" spans="1:12" ht="30" hidden="1" customHeight="1" x14ac:dyDescent="0.25">
      <c r="A285" s="3" t="s">
        <v>341</v>
      </c>
      <c r="B285" s="4" t="s">
        <v>120</v>
      </c>
      <c r="C285" s="4" t="s">
        <v>9</v>
      </c>
      <c r="D285" s="6" t="s">
        <v>45</v>
      </c>
      <c r="E285" s="4" t="str">
        <f>IF(D285="Random","RND",IF(LEN(D285)&gt;15,"Укоротить",IF(D285="Сим-карты","SIM",D285)))</f>
        <v>RND</v>
      </c>
      <c r="F285" s="4" t="s">
        <v>51</v>
      </c>
      <c r="G285" s="4" t="s">
        <v>46</v>
      </c>
      <c r="H285" s="6"/>
      <c r="I285" s="6"/>
      <c r="J285" s="4" t="s">
        <v>342</v>
      </c>
      <c r="K285" s="9" t="str">
        <f>IF(OR(E285="Укоротить",E285=0),"Нет номера",A285&amp;IF(ISBLANK(I285),"",$K$3&amp;I285)&amp;$K$3&amp;C285&amp;$K$3&amp;E285&amp;IF(ISBLANK(H285),"",$K$3&amp;H285&amp;"pfx")&amp;"@")</f>
        <v>Турция/Miatel/RND@</v>
      </c>
      <c r="L285" s="4"/>
    </row>
    <row r="286" spans="1:12" ht="30" hidden="1" customHeight="1" x14ac:dyDescent="0.25">
      <c r="A286" s="3" t="s">
        <v>341</v>
      </c>
      <c r="B286" s="4" t="s">
        <v>120</v>
      </c>
      <c r="C286" s="4" t="s">
        <v>7</v>
      </c>
      <c r="D286" s="6" t="s">
        <v>45</v>
      </c>
      <c r="E286" s="4" t="str">
        <f>IF(D286="Random","RND",IF(LEN(D286)&gt;15,"Укоротить",IF(D286="Сим-карты","SIM",D286)))</f>
        <v>RND</v>
      </c>
      <c r="F286" s="4" t="s">
        <v>51</v>
      </c>
      <c r="G286" s="4" t="s">
        <v>46</v>
      </c>
      <c r="H286" s="6" t="s">
        <v>16</v>
      </c>
      <c r="I286" s="6"/>
      <c r="J286" s="4" t="s">
        <v>88</v>
      </c>
      <c r="K286" s="9" t="str">
        <f>IF(OR(E286="Укоротить",E286=0),"Нет номера",A286&amp;IF(ISBLANK(I286),"",$K$3&amp;I286)&amp;$K$3&amp;C286&amp;$K$3&amp;E286&amp;IF(ISBLANK(H286),"",$K$3&amp;H286&amp;"pfx")&amp;"@")</f>
        <v>Турция/Sancom/RND/0827pfx@</v>
      </c>
      <c r="L286" s="4"/>
    </row>
    <row r="287" spans="1:12" ht="30" hidden="1" customHeight="1" x14ac:dyDescent="0.25">
      <c r="A287" s="3" t="s">
        <v>341</v>
      </c>
      <c r="B287" s="4" t="s">
        <v>120</v>
      </c>
      <c r="C287" s="4" t="s">
        <v>8</v>
      </c>
      <c r="D287" s="6" t="s">
        <v>45</v>
      </c>
      <c r="E287" s="4" t="str">
        <f>IF(D287="Random","RND",IF(LEN(D287)&gt;15,"Укоротить",IF(D287="Сим-карты","SIM",D287)))</f>
        <v>RND</v>
      </c>
      <c r="F287" s="4" t="s">
        <v>51</v>
      </c>
      <c r="G287" s="4" t="s">
        <v>46</v>
      </c>
      <c r="H287" s="6"/>
      <c r="I287" s="6"/>
      <c r="J287" s="4" t="s">
        <v>88</v>
      </c>
      <c r="K287" s="9" t="str">
        <f>IF(OR(E287="Укоротить",E287=0),"Нет номера",A287&amp;IF(ISBLANK(I287),"",$K$3&amp;I287)&amp;$K$3&amp;C287&amp;$K$3&amp;E287&amp;IF(ISBLANK(H287),"",$K$3&amp;H287&amp;"pfx")&amp;"@")</f>
        <v>Турция/Zorra/RND@</v>
      </c>
      <c r="L287" s="4"/>
    </row>
    <row r="288" spans="1:12" ht="30" hidden="1" customHeight="1" x14ac:dyDescent="0.25">
      <c r="A288" s="3" t="s">
        <v>211</v>
      </c>
      <c r="B288" s="4" t="s">
        <v>120</v>
      </c>
      <c r="C288" s="4" t="s">
        <v>9</v>
      </c>
      <c r="D288" s="6" t="s">
        <v>45</v>
      </c>
      <c r="E288" s="4" t="str">
        <f t="shared" si="25"/>
        <v>RND</v>
      </c>
      <c r="F288" s="4" t="s">
        <v>51</v>
      </c>
      <c r="G288" s="4" t="s">
        <v>46</v>
      </c>
      <c r="H288" s="6"/>
      <c r="I288" s="6"/>
      <c r="J288" s="4" t="s">
        <v>88</v>
      </c>
      <c r="K288" s="9" t="str">
        <f t="shared" si="22"/>
        <v>Уганда/Miatel/RND@</v>
      </c>
      <c r="L288" s="4"/>
    </row>
    <row r="289" spans="1:12" ht="30" hidden="1" customHeight="1" x14ac:dyDescent="0.25">
      <c r="A289" s="3" t="s">
        <v>211</v>
      </c>
      <c r="B289" s="4" t="s">
        <v>120</v>
      </c>
      <c r="C289" s="4" t="s">
        <v>7</v>
      </c>
      <c r="D289" s="6" t="s">
        <v>45</v>
      </c>
      <c r="E289" s="4" t="str">
        <f t="shared" si="25"/>
        <v>RND</v>
      </c>
      <c r="F289" s="4" t="s">
        <v>51</v>
      </c>
      <c r="G289" s="4" t="s">
        <v>46</v>
      </c>
      <c r="H289" s="6" t="s">
        <v>16</v>
      </c>
      <c r="I289" s="6"/>
      <c r="J289" s="4" t="s">
        <v>91</v>
      </c>
      <c r="K289" s="9" t="str">
        <f t="shared" si="22"/>
        <v>Уганда/Sancom/RND/0827pfx@</v>
      </c>
      <c r="L289" s="4"/>
    </row>
    <row r="290" spans="1:12" ht="30" hidden="1" customHeight="1" x14ac:dyDescent="0.25">
      <c r="A290" s="3" t="s">
        <v>211</v>
      </c>
      <c r="B290" s="4" t="s">
        <v>120</v>
      </c>
      <c r="C290" s="4" t="s">
        <v>8</v>
      </c>
      <c r="D290" s="6" t="s">
        <v>45</v>
      </c>
      <c r="E290" s="4" t="str">
        <f t="shared" si="25"/>
        <v>RND</v>
      </c>
      <c r="F290" s="4" t="s">
        <v>51</v>
      </c>
      <c r="G290" s="4" t="s">
        <v>46</v>
      </c>
      <c r="H290" s="6"/>
      <c r="I290" s="6"/>
      <c r="J290" s="4" t="s">
        <v>88</v>
      </c>
      <c r="K290" s="9" t="str">
        <f t="shared" si="22"/>
        <v>Уганда/Zorra/RND@</v>
      </c>
      <c r="L290" s="4"/>
    </row>
    <row r="291" spans="1:12" ht="30" hidden="1" customHeight="1" x14ac:dyDescent="0.25">
      <c r="A291" s="3" t="s">
        <v>213</v>
      </c>
      <c r="B291" s="4" t="s">
        <v>120</v>
      </c>
      <c r="C291" s="4" t="s">
        <v>9</v>
      </c>
      <c r="D291" s="6" t="s">
        <v>326</v>
      </c>
      <c r="E291" s="4" t="s">
        <v>81</v>
      </c>
      <c r="F291" s="4" t="s">
        <v>223</v>
      </c>
      <c r="G291" s="4" t="s">
        <v>46</v>
      </c>
      <c r="H291" s="6"/>
      <c r="I291" s="6"/>
      <c r="J291" s="4"/>
      <c r="K291" s="9" t="str">
        <f t="shared" si="22"/>
        <v>Украина/Miatel/Pool_A@</v>
      </c>
      <c r="L291" s="4" t="s">
        <v>224</v>
      </c>
    </row>
    <row r="292" spans="1:12" ht="30" hidden="1" customHeight="1" x14ac:dyDescent="0.25">
      <c r="A292" s="3" t="s">
        <v>213</v>
      </c>
      <c r="B292" s="4" t="s">
        <v>120</v>
      </c>
      <c r="C292" s="4" t="s">
        <v>7</v>
      </c>
      <c r="D292" s="6" t="s">
        <v>45</v>
      </c>
      <c r="E292" s="4" t="str">
        <f t="shared" ref="E292:E306" si="26">IF(D292="Random","RND",IF(LEN(D292)&gt;15,"Укоротить",IF(D292="Сим-карты","SIM",D292)))</f>
        <v>RND</v>
      </c>
      <c r="F292" s="4" t="s">
        <v>51</v>
      </c>
      <c r="G292" s="4" t="s">
        <v>46</v>
      </c>
      <c r="H292" s="6" t="s">
        <v>12</v>
      </c>
      <c r="I292" s="6"/>
      <c r="J292" s="4" t="s">
        <v>88</v>
      </c>
      <c r="K292" s="9" t="str">
        <f t="shared" si="22"/>
        <v>Украина/Sancom/RND/0789pfx@</v>
      </c>
      <c r="L292" s="4"/>
    </row>
    <row r="293" spans="1:12" ht="30" hidden="1" customHeight="1" x14ac:dyDescent="0.25">
      <c r="A293" s="3" t="s">
        <v>213</v>
      </c>
      <c r="B293" s="4" t="s">
        <v>120</v>
      </c>
      <c r="C293" s="4" t="s">
        <v>8</v>
      </c>
      <c r="D293" s="6" t="s">
        <v>45</v>
      </c>
      <c r="E293" s="4" t="str">
        <f t="shared" si="26"/>
        <v>RND</v>
      </c>
      <c r="F293" s="4" t="s">
        <v>51</v>
      </c>
      <c r="G293" s="4" t="s">
        <v>46</v>
      </c>
      <c r="H293" s="6"/>
      <c r="I293" s="6"/>
      <c r="J293" s="4" t="s">
        <v>88</v>
      </c>
      <c r="K293" s="9" t="str">
        <f t="shared" si="22"/>
        <v>Украина/Zorra/RND@</v>
      </c>
      <c r="L293" s="4"/>
    </row>
    <row r="294" spans="1:12" ht="30" hidden="1" customHeight="1" x14ac:dyDescent="0.25">
      <c r="A294" s="3" t="s">
        <v>177</v>
      </c>
      <c r="B294" s="4" t="s">
        <v>120</v>
      </c>
      <c r="C294" s="4" t="s">
        <v>11</v>
      </c>
      <c r="D294" s="6" t="s">
        <v>45</v>
      </c>
      <c r="E294" s="27" t="s">
        <v>145</v>
      </c>
      <c r="F294" s="4"/>
      <c r="G294" s="4"/>
      <c r="H294" s="6"/>
      <c r="I294" s="6"/>
      <c r="J294" s="4" t="s">
        <v>88</v>
      </c>
      <c r="K294" s="28" t="str">
        <f>IF(OR(E294="Укоротить",E294=0),"Нет номера",A294&amp;IF(ISBLANK(I294),"",$K$3&amp;I294)&amp;$K$3&amp;C294&amp;$K$3&amp;E294&amp;IF(ISBLANK(H294),"",$K$3&amp;H294&amp;"pfx")&amp;"@")</f>
        <v>Уругвай/Шлюз/SIM@</v>
      </c>
      <c r="L294" s="26"/>
    </row>
    <row r="295" spans="1:12" ht="30" hidden="1" customHeight="1" x14ac:dyDescent="0.25">
      <c r="A295" s="3" t="s">
        <v>177</v>
      </c>
      <c r="B295" s="4" t="s">
        <v>120</v>
      </c>
      <c r="C295" s="4" t="s">
        <v>9</v>
      </c>
      <c r="D295" s="6" t="s">
        <v>45</v>
      </c>
      <c r="E295" s="4" t="str">
        <f t="shared" si="26"/>
        <v>RND</v>
      </c>
      <c r="F295" s="4" t="s">
        <v>51</v>
      </c>
      <c r="G295" s="4" t="s">
        <v>46</v>
      </c>
      <c r="H295" s="6"/>
      <c r="I295" s="6"/>
      <c r="J295" s="4" t="s">
        <v>88</v>
      </c>
      <c r="K295" s="9" t="str">
        <f t="shared" si="22"/>
        <v>Уругвай/Miatel/RND@</v>
      </c>
      <c r="L295" s="4"/>
    </row>
    <row r="296" spans="1:12" ht="30" hidden="1" customHeight="1" x14ac:dyDescent="0.25">
      <c r="A296" s="3" t="s">
        <v>177</v>
      </c>
      <c r="B296" s="4" t="s">
        <v>120</v>
      </c>
      <c r="C296" s="4" t="s">
        <v>7</v>
      </c>
      <c r="D296" s="6" t="s">
        <v>45</v>
      </c>
      <c r="E296" s="4" t="str">
        <f t="shared" si="26"/>
        <v>RND</v>
      </c>
      <c r="F296" s="4" t="s">
        <v>51</v>
      </c>
      <c r="G296" s="4" t="s">
        <v>46</v>
      </c>
      <c r="H296" s="6" t="s">
        <v>16</v>
      </c>
      <c r="I296" s="6"/>
      <c r="J296" s="4" t="s">
        <v>88</v>
      </c>
      <c r="K296" s="9" t="str">
        <f t="shared" si="22"/>
        <v>Уругвай/Sancom/RND/0827pfx@</v>
      </c>
      <c r="L296" s="4"/>
    </row>
    <row r="297" spans="1:12" ht="30" hidden="1" customHeight="1" x14ac:dyDescent="0.25">
      <c r="A297" s="3" t="s">
        <v>177</v>
      </c>
      <c r="B297" s="4" t="s">
        <v>120</v>
      </c>
      <c r="C297" s="4" t="s">
        <v>8</v>
      </c>
      <c r="D297" s="6" t="s">
        <v>45</v>
      </c>
      <c r="E297" s="4" t="str">
        <f t="shared" si="26"/>
        <v>RND</v>
      </c>
      <c r="F297" s="4" t="s">
        <v>51</v>
      </c>
      <c r="G297" s="4" t="s">
        <v>46</v>
      </c>
      <c r="H297" s="6"/>
      <c r="I297" s="6"/>
      <c r="J297" s="4" t="s">
        <v>88</v>
      </c>
      <c r="K297" s="9" t="str">
        <f t="shared" ref="K297:K373" si="27">IF(OR(E297="Укоротить",E297=0),"Нет номера",A297&amp;IF(ISBLANK(I297),"",$K$3&amp;I297)&amp;$K$3&amp;C297&amp;$K$3&amp;E297&amp;IF(ISBLANK(H297),"",$K$3&amp;H297&amp;"pfx")&amp;"@")</f>
        <v>Уругвай/Zorra/RND@</v>
      </c>
      <c r="L297" s="4"/>
    </row>
    <row r="298" spans="1:12" ht="30" hidden="1" customHeight="1" x14ac:dyDescent="0.25">
      <c r="A298" s="3" t="s">
        <v>142</v>
      </c>
      <c r="B298" s="4"/>
      <c r="C298" s="4" t="s">
        <v>368</v>
      </c>
      <c r="D298" s="6" t="s">
        <v>45</v>
      </c>
      <c r="E298" s="27" t="str">
        <f>IF(D298="Random","RND",IF(LEN(D298)&gt;15,"Укоротить",IF(D298="Сим-карты","SIM",D298)))</f>
        <v>RND</v>
      </c>
      <c r="F298" s="4" t="s">
        <v>51</v>
      </c>
      <c r="G298" s="4" t="s">
        <v>46</v>
      </c>
      <c r="H298" s="6"/>
      <c r="I298" s="6"/>
      <c r="J298" s="4" t="s">
        <v>88</v>
      </c>
      <c r="K298" s="28" t="str">
        <f>IF(OR(E298="Укоротить",E298=0),"Нет номера",A298&amp;IF(ISBLANK(I298),"",$K$3&amp;I298)&amp;$K$3&amp;C298&amp;$K$3&amp;E298&amp;IF(ISBLANK(H298),"",$K$3&amp;H298&amp;"pfx")&amp;"@")</f>
        <v>Филиппины/AOneVoip/RND@</v>
      </c>
      <c r="L298" s="26"/>
    </row>
    <row r="299" spans="1:12" ht="30" hidden="1" customHeight="1" x14ac:dyDescent="0.25">
      <c r="A299" s="3" t="s">
        <v>142</v>
      </c>
      <c r="B299" s="4" t="s">
        <v>120</v>
      </c>
      <c r="C299" s="4" t="s">
        <v>9</v>
      </c>
      <c r="D299" s="6" t="s">
        <v>45</v>
      </c>
      <c r="E299" s="4" t="str">
        <f t="shared" si="26"/>
        <v>RND</v>
      </c>
      <c r="F299" s="4" t="s">
        <v>51</v>
      </c>
      <c r="G299" s="4" t="s">
        <v>46</v>
      </c>
      <c r="H299" s="6"/>
      <c r="I299" s="6"/>
      <c r="J299" s="4" t="s">
        <v>88</v>
      </c>
      <c r="K299" s="9" t="str">
        <f t="shared" si="27"/>
        <v>Филиппины/Miatel/RND@</v>
      </c>
      <c r="L299" s="4"/>
    </row>
    <row r="300" spans="1:12" ht="30" hidden="1" customHeight="1" x14ac:dyDescent="0.25">
      <c r="A300" s="3" t="s">
        <v>142</v>
      </c>
      <c r="B300" s="4" t="s">
        <v>120</v>
      </c>
      <c r="C300" s="4" t="s">
        <v>7</v>
      </c>
      <c r="D300" s="6" t="s">
        <v>45</v>
      </c>
      <c r="E300" s="4" t="str">
        <f t="shared" si="26"/>
        <v>RND</v>
      </c>
      <c r="F300" s="4" t="s">
        <v>51</v>
      </c>
      <c r="G300" s="4" t="s">
        <v>46</v>
      </c>
      <c r="H300" s="6" t="s">
        <v>12</v>
      </c>
      <c r="I300" s="6"/>
      <c r="J300" s="4" t="s">
        <v>88</v>
      </c>
      <c r="K300" s="9" t="str">
        <f t="shared" si="27"/>
        <v>Филиппины/Sancom/RND/0789pfx@</v>
      </c>
      <c r="L300" s="4"/>
    </row>
    <row r="301" spans="1:12" ht="30" hidden="1" customHeight="1" x14ac:dyDescent="0.25">
      <c r="A301" s="3" t="s">
        <v>142</v>
      </c>
      <c r="B301" s="4" t="s">
        <v>120</v>
      </c>
      <c r="C301" s="4" t="s">
        <v>8</v>
      </c>
      <c r="D301" s="6" t="s">
        <v>45</v>
      </c>
      <c r="E301" s="4" t="str">
        <f t="shared" si="26"/>
        <v>RND</v>
      </c>
      <c r="F301" s="4" t="s">
        <v>51</v>
      </c>
      <c r="G301" s="4" t="s">
        <v>46</v>
      </c>
      <c r="H301" s="6"/>
      <c r="I301" s="6"/>
      <c r="J301" s="4" t="s">
        <v>88</v>
      </c>
      <c r="K301" s="9" t="str">
        <f t="shared" si="27"/>
        <v>Филиппины/Zorra/RND@</v>
      </c>
      <c r="L301" s="4"/>
    </row>
    <row r="302" spans="1:12" ht="30" hidden="1" customHeight="1" x14ac:dyDescent="0.25">
      <c r="A302" s="25" t="s">
        <v>142</v>
      </c>
      <c r="B302" s="22" t="s">
        <v>120</v>
      </c>
      <c r="C302" s="22" t="s">
        <v>256</v>
      </c>
      <c r="D302" s="23" t="s">
        <v>50</v>
      </c>
      <c r="E302" s="22" t="str">
        <f t="shared" si="26"/>
        <v>SIM</v>
      </c>
      <c r="F302" s="22"/>
      <c r="G302" s="22" t="s">
        <v>46</v>
      </c>
      <c r="H302" s="23"/>
      <c r="I302" s="23"/>
      <c r="J302" s="22"/>
      <c r="K302" s="24" t="str">
        <f t="shared" si="27"/>
        <v>Филиппины/Шлюз1/SIM@</v>
      </c>
      <c r="L302" s="4"/>
    </row>
    <row r="303" spans="1:12" ht="30" hidden="1" customHeight="1" x14ac:dyDescent="0.25">
      <c r="A303" s="25" t="s">
        <v>142</v>
      </c>
      <c r="B303" s="22" t="s">
        <v>120</v>
      </c>
      <c r="C303" s="22" t="s">
        <v>257</v>
      </c>
      <c r="D303" s="23" t="s">
        <v>50</v>
      </c>
      <c r="E303" s="22" t="str">
        <f t="shared" si="26"/>
        <v>SIM</v>
      </c>
      <c r="F303" s="22"/>
      <c r="G303" s="22" t="s">
        <v>46</v>
      </c>
      <c r="H303" s="23"/>
      <c r="I303" s="23"/>
      <c r="J303" s="22"/>
      <c r="K303" s="24" t="str">
        <f t="shared" si="27"/>
        <v>Филиппины/Шлюз2/SIM@</v>
      </c>
      <c r="L303" s="4"/>
    </row>
    <row r="304" spans="1:12" ht="30" hidden="1" customHeight="1" x14ac:dyDescent="0.25">
      <c r="A304" s="25" t="s">
        <v>142</v>
      </c>
      <c r="B304" s="22" t="s">
        <v>120</v>
      </c>
      <c r="C304" s="22" t="s">
        <v>258</v>
      </c>
      <c r="D304" s="23" t="s">
        <v>50</v>
      </c>
      <c r="E304" s="22" t="str">
        <f t="shared" si="26"/>
        <v>SIM</v>
      </c>
      <c r="F304" s="22"/>
      <c r="G304" s="22" t="s">
        <v>46</v>
      </c>
      <c r="H304" s="23"/>
      <c r="I304" s="23"/>
      <c r="J304" s="22"/>
      <c r="K304" s="24" t="str">
        <f t="shared" si="27"/>
        <v>Филиппины/Шлюз3/SIM@</v>
      </c>
      <c r="L304" s="4"/>
    </row>
    <row r="305" spans="1:12" ht="30" hidden="1" customHeight="1" x14ac:dyDescent="0.25">
      <c r="A305" s="3" t="s">
        <v>274</v>
      </c>
      <c r="B305" s="4" t="s">
        <v>120</v>
      </c>
      <c r="C305" s="4" t="s">
        <v>8</v>
      </c>
      <c r="D305" s="6" t="s">
        <v>45</v>
      </c>
      <c r="E305" s="4" t="str">
        <f t="shared" si="26"/>
        <v>RND</v>
      </c>
      <c r="F305" s="4" t="s">
        <v>51</v>
      </c>
      <c r="G305" s="4" t="s">
        <v>46</v>
      </c>
      <c r="H305" s="6"/>
      <c r="I305" s="6"/>
      <c r="J305" s="4" t="s">
        <v>88</v>
      </c>
      <c r="K305" s="9" t="str">
        <f t="shared" si="27"/>
        <v>Финляндия/Zorra/RND@</v>
      </c>
      <c r="L305" s="4"/>
    </row>
    <row r="306" spans="1:12" ht="30" hidden="1" customHeight="1" x14ac:dyDescent="0.25">
      <c r="A306" s="3" t="s">
        <v>274</v>
      </c>
      <c r="B306" s="4" t="s">
        <v>120</v>
      </c>
      <c r="C306" s="4" t="s">
        <v>7</v>
      </c>
      <c r="D306" s="6" t="s">
        <v>45</v>
      </c>
      <c r="E306" s="4" t="str">
        <f t="shared" si="26"/>
        <v>RND</v>
      </c>
      <c r="F306" s="4" t="s">
        <v>51</v>
      </c>
      <c r="G306" s="4" t="s">
        <v>46</v>
      </c>
      <c r="H306" s="6" t="s">
        <v>12</v>
      </c>
      <c r="I306" s="6"/>
      <c r="J306" s="4" t="s">
        <v>88</v>
      </c>
      <c r="K306" s="9" t="str">
        <f t="shared" si="27"/>
        <v>Финляндия/Sancom/RND/0789pfx@</v>
      </c>
      <c r="L306" s="4"/>
    </row>
    <row r="307" spans="1:12" ht="30" hidden="1" customHeight="1" x14ac:dyDescent="0.25">
      <c r="A307" s="3" t="s">
        <v>274</v>
      </c>
      <c r="B307" s="4" t="s">
        <v>120</v>
      </c>
      <c r="C307" s="4" t="s">
        <v>9</v>
      </c>
      <c r="D307" s="6" t="s">
        <v>325</v>
      </c>
      <c r="E307" s="4" t="s">
        <v>81</v>
      </c>
      <c r="F307" s="4" t="s">
        <v>327</v>
      </c>
      <c r="G307" s="4" t="s">
        <v>46</v>
      </c>
      <c r="H307" s="6"/>
      <c r="I307" s="6"/>
      <c r="J307" s="4" t="s">
        <v>88</v>
      </c>
      <c r="K307" s="9" t="str">
        <f t="shared" si="27"/>
        <v>Финляндия/Miatel/Pool_A@</v>
      </c>
      <c r="L307" s="4"/>
    </row>
    <row r="308" spans="1:12" ht="30" hidden="1" customHeight="1" x14ac:dyDescent="0.25">
      <c r="A308" s="3" t="s">
        <v>39</v>
      </c>
      <c r="B308" s="4" t="s">
        <v>120</v>
      </c>
      <c r="C308" s="4" t="s">
        <v>9</v>
      </c>
      <c r="D308" s="6" t="s">
        <v>45</v>
      </c>
      <c r="E308" s="4" t="str">
        <f>IF(D308="Random","RND",IF(LEN(D308)&gt;15,"Укоротить",IF(D308="Сим-карты","SIM",D308)))</f>
        <v>RND</v>
      </c>
      <c r="F308" s="4" t="s">
        <v>51</v>
      </c>
      <c r="G308" s="4" t="s">
        <v>46</v>
      </c>
      <c r="H308" s="6"/>
      <c r="I308" s="6"/>
      <c r="J308" s="4" t="s">
        <v>88</v>
      </c>
      <c r="K308" s="9" t="str">
        <f t="shared" si="27"/>
        <v>Франция/Miatel/RND@</v>
      </c>
      <c r="L308" s="4"/>
    </row>
    <row r="309" spans="1:12" ht="30" hidden="1" customHeight="1" x14ac:dyDescent="0.25">
      <c r="A309" s="25" t="s">
        <v>39</v>
      </c>
      <c r="B309" s="22" t="s">
        <v>120</v>
      </c>
      <c r="C309" s="22" t="s">
        <v>9</v>
      </c>
      <c r="D309" s="23" t="s">
        <v>128</v>
      </c>
      <c r="E309" s="22" t="s">
        <v>81</v>
      </c>
      <c r="F309" s="22" t="s">
        <v>331</v>
      </c>
      <c r="G309" s="22" t="s">
        <v>46</v>
      </c>
      <c r="H309" s="23"/>
      <c r="I309" s="23"/>
      <c r="J309" s="22" t="s">
        <v>129</v>
      </c>
      <c r="K309" s="24" t="str">
        <f t="shared" si="27"/>
        <v>Франция/Miatel/Pool_A@</v>
      </c>
      <c r="L309" s="22"/>
    </row>
    <row r="310" spans="1:12" ht="30" hidden="1" customHeight="1" x14ac:dyDescent="0.25">
      <c r="A310" s="3" t="s">
        <v>39</v>
      </c>
      <c r="B310" s="4" t="s">
        <v>120</v>
      </c>
      <c r="C310" s="4" t="s">
        <v>7</v>
      </c>
      <c r="D310" s="6" t="s">
        <v>45</v>
      </c>
      <c r="E310" s="4" t="str">
        <f t="shared" ref="E310:E346" si="28">IF(D310="Random","RND",IF(LEN(D310)&gt;15,"Укоротить",IF(D310="Сим-карты","SIM",D310)))</f>
        <v>RND</v>
      </c>
      <c r="F310" s="4" t="s">
        <v>51</v>
      </c>
      <c r="G310" s="4" t="s">
        <v>46</v>
      </c>
      <c r="H310" s="6" t="s">
        <v>16</v>
      </c>
      <c r="I310" s="6"/>
      <c r="J310" s="4" t="s">
        <v>88</v>
      </c>
      <c r="K310" s="9" t="str">
        <f t="shared" si="27"/>
        <v>Франция/Sancom/RND/0827pfx@</v>
      </c>
      <c r="L310" s="4"/>
    </row>
    <row r="311" spans="1:12" ht="30" hidden="1" customHeight="1" x14ac:dyDescent="0.25">
      <c r="A311" s="3" t="s">
        <v>39</v>
      </c>
      <c r="B311" s="4" t="s">
        <v>120</v>
      </c>
      <c r="C311" s="4" t="s">
        <v>352</v>
      </c>
      <c r="D311" s="6" t="s">
        <v>380</v>
      </c>
      <c r="E311" s="6" t="s">
        <v>81</v>
      </c>
      <c r="F311" s="4" t="s">
        <v>397</v>
      </c>
      <c r="G311" s="4" t="s">
        <v>46</v>
      </c>
      <c r="H311" s="6"/>
      <c r="I311" s="6"/>
      <c r="J311" s="4" t="s">
        <v>88</v>
      </c>
      <c r="K311" s="28" t="str">
        <f>IF(OR(E311="Укоротить",E311=0),"Нет номера",A311&amp;IF(ISBLANK(I311),"",$K$3&amp;I311)&amp;$K$3&amp;C311&amp;$K$3&amp;E311&amp;IF(ISBLANK(H311),"",$K$3&amp;H311&amp;"pfx")&amp;"@")</f>
        <v>Франция/Rocketcalls/Pool_A@</v>
      </c>
      <c r="L311" s="26"/>
    </row>
    <row r="312" spans="1:12" ht="30" hidden="1" customHeight="1" x14ac:dyDescent="0.25">
      <c r="A312" s="3" t="s">
        <v>39</v>
      </c>
      <c r="B312" s="4" t="s">
        <v>120</v>
      </c>
      <c r="C312" s="4" t="s">
        <v>368</v>
      </c>
      <c r="D312" s="6" t="s">
        <v>45</v>
      </c>
      <c r="E312" s="6" t="s">
        <v>81</v>
      </c>
      <c r="F312" s="4" t="s">
        <v>51</v>
      </c>
      <c r="G312" s="4" t="s">
        <v>46</v>
      </c>
      <c r="H312" s="6" t="s">
        <v>392</v>
      </c>
      <c r="I312" s="6"/>
      <c r="J312" s="4"/>
      <c r="K312" s="28" t="str">
        <f>IF(OR(E312="Укоротить",E312=0),"Нет номера",A312&amp;IF(ISBLANK(I312),"",$K$3&amp;I312)&amp;$K$3&amp;C312&amp;$K$3&amp;E312&amp;IF(ISBLANK(H312),"",$K$3&amp;H312&amp;"pfx")&amp;"@")</f>
        <v>Франция/AOneVoip/Pool_A/01994pfx@</v>
      </c>
      <c r="L312" s="26"/>
    </row>
    <row r="313" spans="1:12" ht="30" hidden="1" customHeight="1" x14ac:dyDescent="0.25">
      <c r="A313" s="3" t="s">
        <v>39</v>
      </c>
      <c r="B313" s="4" t="s">
        <v>120</v>
      </c>
      <c r="C313" s="4" t="s">
        <v>8</v>
      </c>
      <c r="D313" s="6" t="s">
        <v>415</v>
      </c>
      <c r="E313" s="6" t="s">
        <v>81</v>
      </c>
      <c r="F313" s="4" t="s">
        <v>414</v>
      </c>
      <c r="G313" s="4"/>
      <c r="H313" s="6"/>
      <c r="I313" s="6"/>
      <c r="J313" s="4"/>
      <c r="K313" s="28" t="str">
        <f>IF(OR(E313="Укоротить",E313=0),"Нет номера",A313&amp;IF(ISBLANK(I313),"",$K$3&amp;I313)&amp;$K$3&amp;C313&amp;$K$3&amp;E313&amp;IF(ISBLANK(H313),"",$K$3&amp;H313&amp;"pfx")&amp;"@")</f>
        <v>Франция/Zorra/Pool_A@</v>
      </c>
      <c r="L313" s="26"/>
    </row>
    <row r="314" spans="1:12" ht="30" hidden="1" customHeight="1" x14ac:dyDescent="0.25">
      <c r="A314" s="3" t="s">
        <v>39</v>
      </c>
      <c r="B314" s="4" t="s">
        <v>120</v>
      </c>
      <c r="C314" s="4" t="s">
        <v>8</v>
      </c>
      <c r="D314" s="6" t="s">
        <v>45</v>
      </c>
      <c r="E314" s="4" t="str">
        <f t="shared" si="28"/>
        <v>RND</v>
      </c>
      <c r="F314" s="4" t="s">
        <v>51</v>
      </c>
      <c r="G314" s="4" t="s">
        <v>46</v>
      </c>
      <c r="H314" s="6"/>
      <c r="I314" s="6"/>
      <c r="J314" s="4" t="s">
        <v>88</v>
      </c>
      <c r="K314" s="9" t="str">
        <f t="shared" si="27"/>
        <v>Франция/Zorra/RND@</v>
      </c>
      <c r="L314" s="4"/>
    </row>
    <row r="315" spans="1:12" ht="30" hidden="1" customHeight="1" x14ac:dyDescent="0.25">
      <c r="A315" s="3" t="s">
        <v>40</v>
      </c>
      <c r="B315" s="4" t="s">
        <v>120</v>
      </c>
      <c r="C315" s="4" t="s">
        <v>9</v>
      </c>
      <c r="D315" s="6" t="s">
        <v>45</v>
      </c>
      <c r="E315" s="4" t="str">
        <f t="shared" si="28"/>
        <v>RND</v>
      </c>
      <c r="F315" s="4" t="s">
        <v>51</v>
      </c>
      <c r="G315" s="4" t="s">
        <v>46</v>
      </c>
      <c r="H315" s="6"/>
      <c r="I315" s="6"/>
      <c r="J315" s="4" t="s">
        <v>286</v>
      </c>
      <c r="K315" s="9" t="str">
        <f t="shared" si="27"/>
        <v>Хорватия/Miatel/RND@</v>
      </c>
      <c r="L315" s="4"/>
    </row>
    <row r="316" spans="1:12" ht="30" hidden="1" customHeight="1" x14ac:dyDescent="0.25">
      <c r="A316" s="3" t="s">
        <v>40</v>
      </c>
      <c r="B316" s="4" t="s">
        <v>120</v>
      </c>
      <c r="C316" s="4" t="s">
        <v>7</v>
      </c>
      <c r="D316" s="6" t="s">
        <v>45</v>
      </c>
      <c r="E316" s="4" t="str">
        <f t="shared" si="28"/>
        <v>RND</v>
      </c>
      <c r="F316" s="4" t="s">
        <v>51</v>
      </c>
      <c r="G316" s="4" t="s">
        <v>46</v>
      </c>
      <c r="H316" s="6" t="s">
        <v>12</v>
      </c>
      <c r="I316" s="6"/>
      <c r="J316" s="4" t="s">
        <v>88</v>
      </c>
      <c r="K316" s="9" t="str">
        <f t="shared" si="27"/>
        <v>Хорватия/Sancom/RND/0789pfx@</v>
      </c>
      <c r="L316" s="4"/>
    </row>
    <row r="317" spans="1:12" ht="30" hidden="1" customHeight="1" x14ac:dyDescent="0.25">
      <c r="A317" s="3" t="s">
        <v>40</v>
      </c>
      <c r="B317" s="4" t="s">
        <v>120</v>
      </c>
      <c r="C317" s="4" t="s">
        <v>7</v>
      </c>
      <c r="D317" s="6" t="s">
        <v>45</v>
      </c>
      <c r="E317" s="4" t="str">
        <f t="shared" si="28"/>
        <v>RND</v>
      </c>
      <c r="F317" s="4" t="s">
        <v>51</v>
      </c>
      <c r="G317" s="4" t="s">
        <v>46</v>
      </c>
      <c r="H317" s="6" t="s">
        <v>16</v>
      </c>
      <c r="I317" s="6"/>
      <c r="J317" s="4" t="s">
        <v>88</v>
      </c>
      <c r="K317" s="9" t="str">
        <f t="shared" si="27"/>
        <v>Хорватия/Sancom/RND/0827pfx@</v>
      </c>
      <c r="L317" s="4"/>
    </row>
    <row r="318" spans="1:12" ht="30" hidden="1" customHeight="1" x14ac:dyDescent="0.25">
      <c r="A318" s="3" t="s">
        <v>40</v>
      </c>
      <c r="B318" s="4" t="s">
        <v>120</v>
      </c>
      <c r="C318" s="4" t="s">
        <v>7</v>
      </c>
      <c r="D318" s="6" t="s">
        <v>346</v>
      </c>
      <c r="E318" s="4" t="s">
        <v>81</v>
      </c>
      <c r="F318" s="4" t="s">
        <v>347</v>
      </c>
      <c r="G318" s="4" t="s">
        <v>46</v>
      </c>
      <c r="H318" s="6" t="s">
        <v>12</v>
      </c>
      <c r="I318" s="6"/>
      <c r="J318" s="4" t="s">
        <v>88</v>
      </c>
      <c r="K318" s="9" t="str">
        <f>IF(OR(E318="Укоротить",E318=0),"Нет номера",A318&amp;IF(ISBLANK(I318),"",$K$3&amp;I318)&amp;$K$3&amp;C318&amp;$K$3&amp;E318&amp;IF(ISBLANK(H318),"",$K$3&amp;H318&amp;"pfx")&amp;"@")</f>
        <v>Хорватия/Sancom/Pool_A/0789pfx@</v>
      </c>
      <c r="L318" s="4"/>
    </row>
    <row r="319" spans="1:12" ht="30" hidden="1" customHeight="1" x14ac:dyDescent="0.25">
      <c r="A319" s="3" t="s">
        <v>40</v>
      </c>
      <c r="B319" s="4" t="s">
        <v>120</v>
      </c>
      <c r="C319" s="4" t="s">
        <v>8</v>
      </c>
      <c r="D319" s="6" t="s">
        <v>45</v>
      </c>
      <c r="E319" s="4" t="str">
        <f t="shared" si="28"/>
        <v>RND</v>
      </c>
      <c r="F319" s="4" t="s">
        <v>51</v>
      </c>
      <c r="G319" s="4" t="s">
        <v>46</v>
      </c>
      <c r="H319" s="6"/>
      <c r="I319" s="6"/>
      <c r="J319" s="4" t="s">
        <v>88</v>
      </c>
      <c r="K319" s="9" t="str">
        <f t="shared" si="27"/>
        <v>Хорватия/Zorra/RND@</v>
      </c>
      <c r="L319" s="4"/>
    </row>
    <row r="320" spans="1:12" ht="30" hidden="1" customHeight="1" x14ac:dyDescent="0.25">
      <c r="A320" s="3" t="s">
        <v>40</v>
      </c>
      <c r="B320" s="4" t="s">
        <v>120</v>
      </c>
      <c r="C320" s="4" t="s">
        <v>280</v>
      </c>
      <c r="D320" s="6" t="s">
        <v>45</v>
      </c>
      <c r="E320" s="4" t="str">
        <f t="shared" si="28"/>
        <v>RND</v>
      </c>
      <c r="F320" s="4" t="s">
        <v>51</v>
      </c>
      <c r="G320" s="4" t="s">
        <v>46</v>
      </c>
      <c r="H320" s="6"/>
      <c r="I320" s="6"/>
      <c r="J320" s="4" t="s">
        <v>88</v>
      </c>
      <c r="K320" s="9" t="str">
        <f t="shared" si="27"/>
        <v>Хорватия/UniTalk/RND@</v>
      </c>
      <c r="L320" s="4"/>
    </row>
    <row r="321" spans="1:12" ht="30" hidden="1" x14ac:dyDescent="0.25">
      <c r="A321" s="25" t="s">
        <v>41</v>
      </c>
      <c r="B321" s="22" t="s">
        <v>120</v>
      </c>
      <c r="C321" s="22" t="s">
        <v>9</v>
      </c>
      <c r="D321" s="23" t="s">
        <v>45</v>
      </c>
      <c r="E321" s="22" t="s">
        <v>81</v>
      </c>
      <c r="F321" s="22" t="s">
        <v>378</v>
      </c>
      <c r="G321" s="22" t="s">
        <v>46</v>
      </c>
      <c r="H321" s="23"/>
      <c r="I321" s="23"/>
      <c r="J321" s="22" t="s">
        <v>88</v>
      </c>
      <c r="K321" s="24" t="str">
        <f>IF(OR(E321="Укоротить",E321=0),"Нет номера",A321&amp;IF(ISBLANK(I321),"",$K$3&amp;I321)&amp;$K$3&amp;C321&amp;$K$3&amp;E321&amp;IF(ISBLANK(H321),"",$K$3&amp;H321&amp;"pfx")&amp;"@")</f>
        <v>Чехия/Miatel/Pool_A@</v>
      </c>
      <c r="L321" s="4"/>
    </row>
    <row r="322" spans="1:12" ht="30" hidden="1" customHeight="1" x14ac:dyDescent="0.25">
      <c r="A322" s="3" t="s">
        <v>41</v>
      </c>
      <c r="B322" s="4" t="s">
        <v>120</v>
      </c>
      <c r="C322" s="4" t="s">
        <v>9</v>
      </c>
      <c r="D322" s="6" t="s">
        <v>45</v>
      </c>
      <c r="E322" s="4" t="str">
        <f t="shared" si="28"/>
        <v>RND</v>
      </c>
      <c r="F322" s="4" t="s">
        <v>51</v>
      </c>
      <c r="G322" s="4" t="s">
        <v>46</v>
      </c>
      <c r="H322" s="6"/>
      <c r="I322" s="6"/>
      <c r="J322" s="4" t="s">
        <v>310</v>
      </c>
      <c r="K322" s="9" t="str">
        <f t="shared" si="27"/>
        <v>Чехия/Miatel/RND@</v>
      </c>
      <c r="L322" s="4"/>
    </row>
    <row r="323" spans="1:12" ht="30" hidden="1" customHeight="1" x14ac:dyDescent="0.25">
      <c r="A323" s="3" t="s">
        <v>41</v>
      </c>
      <c r="B323" s="4" t="s">
        <v>120</v>
      </c>
      <c r="C323" s="4" t="s">
        <v>7</v>
      </c>
      <c r="D323" s="6" t="s">
        <v>45</v>
      </c>
      <c r="E323" s="4" t="str">
        <f t="shared" si="28"/>
        <v>RND</v>
      </c>
      <c r="F323" s="4" t="s">
        <v>51</v>
      </c>
      <c r="G323" s="4" t="s">
        <v>46</v>
      </c>
      <c r="H323" s="6" t="s">
        <v>12</v>
      </c>
      <c r="I323" s="6"/>
      <c r="J323" s="4" t="s">
        <v>310</v>
      </c>
      <c r="K323" s="9" t="str">
        <f t="shared" si="27"/>
        <v>Чехия/Sancom/RND/0789pfx@</v>
      </c>
      <c r="L323" s="4"/>
    </row>
    <row r="324" spans="1:12" ht="30" hidden="1" customHeight="1" x14ac:dyDescent="0.25">
      <c r="A324" s="3" t="s">
        <v>41</v>
      </c>
      <c r="B324" s="4" t="s">
        <v>120</v>
      </c>
      <c r="C324" s="4" t="s">
        <v>7</v>
      </c>
      <c r="D324" s="6" t="s">
        <v>45</v>
      </c>
      <c r="E324" s="4" t="str">
        <f t="shared" si="28"/>
        <v>RND</v>
      </c>
      <c r="F324" s="4" t="s">
        <v>51</v>
      </c>
      <c r="G324" s="4" t="s">
        <v>46</v>
      </c>
      <c r="H324" s="6" t="s">
        <v>16</v>
      </c>
      <c r="I324" s="6"/>
      <c r="J324" s="4" t="s">
        <v>310</v>
      </c>
      <c r="K324" s="9" t="str">
        <f t="shared" si="27"/>
        <v>Чехия/Sancom/RND/0827pfx@</v>
      </c>
      <c r="L324" s="4"/>
    </row>
    <row r="325" spans="1:12" ht="30" hidden="1" customHeight="1" x14ac:dyDescent="0.3">
      <c r="A325" s="3" t="s">
        <v>41</v>
      </c>
      <c r="B325" s="4" t="s">
        <v>120</v>
      </c>
      <c r="C325" s="4" t="s">
        <v>367</v>
      </c>
      <c r="D325" s="29" t="s">
        <v>383</v>
      </c>
      <c r="E325" s="4" t="s">
        <v>81</v>
      </c>
      <c r="F325" s="4" t="s">
        <v>51</v>
      </c>
      <c r="G325" s="4" t="s">
        <v>46</v>
      </c>
      <c r="H325" s="6"/>
      <c r="I325" s="6"/>
      <c r="J325" s="4" t="s">
        <v>88</v>
      </c>
      <c r="K325" s="9" t="str">
        <f t="shared" si="27"/>
        <v>Чехия/Odorik/Pool_A@</v>
      </c>
      <c r="L325" s="26"/>
    </row>
    <row r="326" spans="1:12" ht="30" hidden="1" customHeight="1" x14ac:dyDescent="0.25">
      <c r="A326" s="3" t="s">
        <v>41</v>
      </c>
      <c r="B326" s="4" t="s">
        <v>120</v>
      </c>
      <c r="C326" s="4" t="s">
        <v>8</v>
      </c>
      <c r="D326" s="6" t="s">
        <v>45</v>
      </c>
      <c r="E326" s="4" t="str">
        <f t="shared" si="28"/>
        <v>RND</v>
      </c>
      <c r="F326" s="4" t="s">
        <v>51</v>
      </c>
      <c r="G326" s="4" t="s">
        <v>46</v>
      </c>
      <c r="H326" s="6"/>
      <c r="I326" s="6"/>
      <c r="J326" s="4" t="s">
        <v>88</v>
      </c>
      <c r="K326" s="9" t="str">
        <f t="shared" si="27"/>
        <v>Чехия/Zorra/RND@</v>
      </c>
      <c r="L326" s="4"/>
    </row>
    <row r="327" spans="1:12" ht="30" hidden="1" customHeight="1" x14ac:dyDescent="0.25">
      <c r="A327" s="3" t="s">
        <v>105</v>
      </c>
      <c r="B327" s="4" t="s">
        <v>120</v>
      </c>
      <c r="C327" s="4" t="s">
        <v>9</v>
      </c>
      <c r="D327" s="6" t="s">
        <v>45</v>
      </c>
      <c r="E327" s="4" t="str">
        <f t="shared" si="28"/>
        <v>RND</v>
      </c>
      <c r="F327" s="4" t="s">
        <v>51</v>
      </c>
      <c r="G327" s="4" t="s">
        <v>46</v>
      </c>
      <c r="H327" s="6"/>
      <c r="I327" s="6"/>
      <c r="J327" s="4" t="s">
        <v>88</v>
      </c>
      <c r="K327" s="9" t="str">
        <f t="shared" si="27"/>
        <v>Чили/Miatel/RND@</v>
      </c>
      <c r="L327" s="4"/>
    </row>
    <row r="328" spans="1:12" ht="30" hidden="1" customHeight="1" x14ac:dyDescent="0.25">
      <c r="A328" s="3" t="s">
        <v>105</v>
      </c>
      <c r="B328" s="4" t="s">
        <v>120</v>
      </c>
      <c r="C328" s="4" t="s">
        <v>7</v>
      </c>
      <c r="D328" s="6" t="s">
        <v>45</v>
      </c>
      <c r="E328" s="4" t="str">
        <f t="shared" si="28"/>
        <v>RND</v>
      </c>
      <c r="F328" s="4" t="s">
        <v>51</v>
      </c>
      <c r="G328" s="4" t="s">
        <v>46</v>
      </c>
      <c r="H328" s="6" t="s">
        <v>12</v>
      </c>
      <c r="I328" s="6"/>
      <c r="J328" s="4" t="s">
        <v>88</v>
      </c>
      <c r="K328" s="9" t="str">
        <f t="shared" si="27"/>
        <v>Чили/Sancom/RND/0789pfx@</v>
      </c>
      <c r="L328" s="4"/>
    </row>
    <row r="329" spans="1:12" ht="30" hidden="1" customHeight="1" x14ac:dyDescent="0.25">
      <c r="A329" s="3" t="s">
        <v>105</v>
      </c>
      <c r="B329" s="4" t="s">
        <v>120</v>
      </c>
      <c r="C329" s="4" t="s">
        <v>8</v>
      </c>
      <c r="D329" s="6" t="s">
        <v>45</v>
      </c>
      <c r="E329" s="4" t="str">
        <f t="shared" si="28"/>
        <v>RND</v>
      </c>
      <c r="F329" s="4" t="s">
        <v>51</v>
      </c>
      <c r="G329" s="4" t="s">
        <v>46</v>
      </c>
      <c r="H329" s="6"/>
      <c r="I329" s="6"/>
      <c r="J329" s="4" t="s">
        <v>88</v>
      </c>
      <c r="K329" s="9" t="str">
        <f t="shared" si="27"/>
        <v>Чили/Zorra/RND@</v>
      </c>
      <c r="L329" s="4"/>
    </row>
    <row r="330" spans="1:12" ht="30" hidden="1" customHeight="1" x14ac:dyDescent="0.25">
      <c r="A330" s="3" t="s">
        <v>42</v>
      </c>
      <c r="B330" s="4" t="s">
        <v>120</v>
      </c>
      <c r="C330" s="4" t="s">
        <v>9</v>
      </c>
      <c r="D330" s="6" t="s">
        <v>45</v>
      </c>
      <c r="E330" s="4" t="str">
        <f t="shared" si="28"/>
        <v>RND</v>
      </c>
      <c r="F330" s="4" t="s">
        <v>51</v>
      </c>
      <c r="G330" s="4" t="s">
        <v>46</v>
      </c>
      <c r="H330" s="6"/>
      <c r="I330" s="6"/>
      <c r="J330" s="4" t="s">
        <v>88</v>
      </c>
      <c r="K330" s="9" t="str">
        <f t="shared" si="27"/>
        <v>Швейцария/Miatel/RND@</v>
      </c>
      <c r="L330" s="4"/>
    </row>
    <row r="331" spans="1:12" ht="30" hidden="1" customHeight="1" x14ac:dyDescent="0.25">
      <c r="A331" s="3" t="s">
        <v>42</v>
      </c>
      <c r="B331" s="4" t="s">
        <v>120</v>
      </c>
      <c r="C331" s="4" t="s">
        <v>9</v>
      </c>
      <c r="D331" s="6" t="s">
        <v>45</v>
      </c>
      <c r="E331" s="4" t="str">
        <f t="shared" ref="E331" si="29">IF(D331="Random","RND",IF(LEN(D331)&gt;15,"Укоротить",IF(D331="Сим-карты","SIM",D331)))</f>
        <v>RND</v>
      </c>
      <c r="F331" s="4" t="s">
        <v>51</v>
      </c>
      <c r="G331" s="4" t="s">
        <v>46</v>
      </c>
      <c r="H331" s="6" t="s">
        <v>158</v>
      </c>
      <c r="I331" s="6" t="s">
        <v>400</v>
      </c>
      <c r="J331" s="4" t="s">
        <v>88</v>
      </c>
      <c r="K331" s="28" t="str">
        <f>IF(OR(E331="Укоротить",E331=0),"Нет номера",A331&amp;IF(ISBLANK(I331),"",$K$3&amp;I331)&amp;$K$3&amp;C331&amp;$K$3&amp;E331&amp;IF(ISBLANK(H331),"",$K$3&amp;H331&amp;"pfx")&amp;"@")</f>
        <v>Швейцария/ITM/Miatel/RND/0333pfx@</v>
      </c>
      <c r="L331" s="26" t="s">
        <v>401</v>
      </c>
    </row>
    <row r="332" spans="1:12" ht="30" hidden="1" customHeight="1" x14ac:dyDescent="0.25">
      <c r="A332" s="3" t="s">
        <v>42</v>
      </c>
      <c r="B332" s="4" t="s">
        <v>120</v>
      </c>
      <c r="C332" s="4" t="s">
        <v>7</v>
      </c>
      <c r="D332" s="6" t="s">
        <v>45</v>
      </c>
      <c r="E332" s="4" t="str">
        <f t="shared" si="28"/>
        <v>RND</v>
      </c>
      <c r="F332" s="4" t="s">
        <v>51</v>
      </c>
      <c r="G332" s="4" t="s">
        <v>46</v>
      </c>
      <c r="H332" s="6" t="s">
        <v>12</v>
      </c>
      <c r="I332" s="6"/>
      <c r="J332" s="4" t="s">
        <v>285</v>
      </c>
      <c r="K332" s="9" t="str">
        <f t="shared" si="27"/>
        <v>Швейцария/Sancom/RND/0789pfx@</v>
      </c>
      <c r="L332" s="4"/>
    </row>
    <row r="333" spans="1:12" ht="30" hidden="1" customHeight="1" x14ac:dyDescent="0.25">
      <c r="A333" s="3" t="s">
        <v>42</v>
      </c>
      <c r="B333" s="4" t="s">
        <v>120</v>
      </c>
      <c r="C333" s="4" t="s">
        <v>7</v>
      </c>
      <c r="D333" s="6" t="s">
        <v>45</v>
      </c>
      <c r="E333" s="4" t="str">
        <f t="shared" si="28"/>
        <v>RND</v>
      </c>
      <c r="F333" s="4" t="s">
        <v>51</v>
      </c>
      <c r="G333" s="4" t="s">
        <v>46</v>
      </c>
      <c r="H333" s="6" t="s">
        <v>15</v>
      </c>
      <c r="I333" s="6"/>
      <c r="J333" s="4" t="s">
        <v>285</v>
      </c>
      <c r="K333" s="9" t="str">
        <f t="shared" si="27"/>
        <v>Швейцария/Sancom/RND/0808pfx@</v>
      </c>
      <c r="L333" s="4"/>
    </row>
    <row r="334" spans="1:12" ht="30" hidden="1" customHeight="1" x14ac:dyDescent="0.25">
      <c r="A334" s="3" t="s">
        <v>42</v>
      </c>
      <c r="B334" s="4" t="s">
        <v>120</v>
      </c>
      <c r="C334" s="4" t="s">
        <v>8</v>
      </c>
      <c r="D334" s="6" t="s">
        <v>45</v>
      </c>
      <c r="E334" s="4" t="str">
        <f t="shared" si="28"/>
        <v>RND</v>
      </c>
      <c r="F334" s="4" t="s">
        <v>51</v>
      </c>
      <c r="G334" s="4" t="s">
        <v>46</v>
      </c>
      <c r="H334" s="6"/>
      <c r="I334" s="6"/>
      <c r="J334" s="4"/>
      <c r="K334" s="9" t="str">
        <f t="shared" si="27"/>
        <v>Швейцария/Zorra/RND@</v>
      </c>
      <c r="L334" s="4"/>
    </row>
    <row r="335" spans="1:12" ht="30" hidden="1" customHeight="1" x14ac:dyDescent="0.25">
      <c r="A335" s="3" t="s">
        <v>42</v>
      </c>
      <c r="B335" s="4" t="s">
        <v>120</v>
      </c>
      <c r="C335" s="4" t="s">
        <v>280</v>
      </c>
      <c r="D335" s="6" t="s">
        <v>45</v>
      </c>
      <c r="E335" s="4" t="str">
        <f t="shared" si="28"/>
        <v>RND</v>
      </c>
      <c r="F335" s="4" t="s">
        <v>51</v>
      </c>
      <c r="G335" s="4" t="s">
        <v>46</v>
      </c>
      <c r="H335" s="6"/>
      <c r="I335" s="6"/>
      <c r="J335" s="4" t="s">
        <v>88</v>
      </c>
      <c r="K335" s="9" t="str">
        <f t="shared" si="27"/>
        <v>Швейцария/UniTalk/RND@</v>
      </c>
      <c r="L335" s="4"/>
    </row>
    <row r="336" spans="1:12" ht="30" hidden="1" customHeight="1" x14ac:dyDescent="0.25">
      <c r="A336" s="3" t="s">
        <v>388</v>
      </c>
      <c r="B336" s="4" t="s">
        <v>120</v>
      </c>
      <c r="C336" s="4" t="s">
        <v>9</v>
      </c>
      <c r="D336" s="6" t="s">
        <v>45</v>
      </c>
      <c r="E336" s="27" t="s">
        <v>81</v>
      </c>
      <c r="F336" s="4" t="s">
        <v>395</v>
      </c>
      <c r="G336" s="4" t="s">
        <v>46</v>
      </c>
      <c r="H336" s="6"/>
      <c r="I336" s="6"/>
      <c r="J336" s="4" t="s">
        <v>396</v>
      </c>
      <c r="K336" s="28" t="str">
        <f>IF(OR(E336="Укоротить",E336=0),"Нет номера",A336&amp;IF(ISBLANK(I336),"",$K$3&amp;I336)&amp;$K$3&amp;C336&amp;$K$3&amp;E336&amp;IF(ISBLANK(H336),"",$K$3&amp;H336&amp;"pfx")&amp;"@")</f>
        <v>Дания/Miatel/Pool_A@</v>
      </c>
      <c r="L336" s="26"/>
    </row>
    <row r="337" spans="1:12" ht="30" hidden="1" customHeight="1" x14ac:dyDescent="0.25">
      <c r="A337" s="3" t="s">
        <v>388</v>
      </c>
      <c r="B337" s="4" t="s">
        <v>120</v>
      </c>
      <c r="C337" s="4" t="s">
        <v>368</v>
      </c>
      <c r="D337" s="6" t="s">
        <v>45</v>
      </c>
      <c r="E337" s="27" t="str">
        <f>IF(D337="Random","RND",IF(LEN(D337)&gt;15,"Укоротить",IF(D337="Сим-карты","SIM",D337)))</f>
        <v>RND</v>
      </c>
      <c r="F337" s="4" t="s">
        <v>51</v>
      </c>
      <c r="G337" s="4" t="s">
        <v>46</v>
      </c>
      <c r="H337" s="6" t="s">
        <v>392</v>
      </c>
      <c r="I337" s="6"/>
      <c r="J337" s="4" t="s">
        <v>88</v>
      </c>
      <c r="K337" s="28" t="str">
        <f>IF(OR(E337="Укоротить",E337=0),"Нет номера",A337&amp;IF(ISBLANK(I337),"",$K$3&amp;I337)&amp;$K$3&amp;C337&amp;$K$3&amp;E337&amp;IF(ISBLANK(H337),"",$K$3&amp;H337&amp;"pfx")&amp;"@")</f>
        <v>Дания/AOneVoip/RND/01994pfx@</v>
      </c>
      <c r="L337" s="26"/>
    </row>
    <row r="338" spans="1:12" ht="30" hidden="1" customHeight="1" x14ac:dyDescent="0.25">
      <c r="A338" s="3" t="s">
        <v>390</v>
      </c>
      <c r="B338" s="4" t="s">
        <v>120</v>
      </c>
      <c r="C338" s="4" t="s">
        <v>9</v>
      </c>
      <c r="D338" s="6" t="s">
        <v>45</v>
      </c>
      <c r="E338" s="27" t="str">
        <f>IF(D338="Random","RND",IF(LEN(D338)&gt;15,"Укоротить",IF(D338="Сим-карты","SIM",D338)))</f>
        <v>RND</v>
      </c>
      <c r="F338" s="4" t="s">
        <v>51</v>
      </c>
      <c r="G338" s="4" t="s">
        <v>46</v>
      </c>
      <c r="H338" s="6"/>
      <c r="I338" s="6"/>
      <c r="J338" s="4" t="s">
        <v>391</v>
      </c>
      <c r="K338" s="28" t="str">
        <f>IF(OR(E338="Укоротить",E338=0),"Нет номера",A338&amp;IF(ISBLANK(I338),"",$K$3&amp;I338)&amp;$K$3&amp;C338&amp;$K$3&amp;E338&amp;IF(ISBLANK(H338),"",$K$3&amp;H338&amp;"pfx")&amp;"@")</f>
        <v>Швеция/Miatel/RND@</v>
      </c>
      <c r="L338" s="26"/>
    </row>
    <row r="339" spans="1:12" ht="30" hidden="1" customHeight="1" x14ac:dyDescent="0.25">
      <c r="A339" s="3" t="s">
        <v>390</v>
      </c>
      <c r="B339" s="4" t="s">
        <v>120</v>
      </c>
      <c r="C339" s="4" t="s">
        <v>368</v>
      </c>
      <c r="D339" s="6" t="s">
        <v>45</v>
      </c>
      <c r="E339" s="27" t="str">
        <f>IF(D339="Random","RND",IF(LEN(D339)&gt;15,"Укоротить",IF(D339="Сим-карты","SIM",D339)))</f>
        <v>RND</v>
      </c>
      <c r="F339" s="4" t="s">
        <v>51</v>
      </c>
      <c r="G339" s="4" t="s">
        <v>46</v>
      </c>
      <c r="H339" s="6" t="s">
        <v>392</v>
      </c>
      <c r="I339" s="6"/>
      <c r="J339" s="4" t="s">
        <v>88</v>
      </c>
      <c r="K339" s="28" t="str">
        <f>IF(OR(E339="Укоротить",E339=0),"Нет номера",A339&amp;IF(ISBLANK(I339),"",$K$3&amp;I339)&amp;$K$3&amp;C339&amp;$K$3&amp;E339&amp;IF(ISBLANK(H339),"",$K$3&amp;H339&amp;"pfx")&amp;"@")</f>
        <v>Швеция/AOneVoip/RND/01994pfx@</v>
      </c>
      <c r="L339" s="26"/>
    </row>
    <row r="340" spans="1:12" ht="30" hidden="1" customHeight="1" x14ac:dyDescent="0.25">
      <c r="A340" s="3" t="s">
        <v>390</v>
      </c>
      <c r="B340" s="4" t="s">
        <v>120</v>
      </c>
      <c r="C340" s="4" t="s">
        <v>7</v>
      </c>
      <c r="D340" s="6" t="s">
        <v>45</v>
      </c>
      <c r="E340" s="27" t="str">
        <f>IF(D340="Random","RND",IF(LEN(D340)&gt;15,"Укоротить",IF(D340="Сим-карты","SIM",D340)))</f>
        <v>RND</v>
      </c>
      <c r="F340" s="4" t="s">
        <v>51</v>
      </c>
      <c r="G340" s="4" t="s">
        <v>46</v>
      </c>
      <c r="H340" s="6" t="s">
        <v>16</v>
      </c>
      <c r="I340" s="6"/>
      <c r="J340" s="4" t="s">
        <v>394</v>
      </c>
      <c r="K340" s="28" t="str">
        <f>IF(OR(E340="Укоротить",E340=0),"Нет номера",A340&amp;IF(ISBLANK(I340),"",$K$3&amp;I340)&amp;$K$3&amp;C340&amp;$K$3&amp;E340&amp;IF(ISBLANK(H340),"",$K$3&amp;H340&amp;"pfx")&amp;"@")</f>
        <v>Швеция/Sancom/RND/0827pfx@</v>
      </c>
      <c r="L340" s="26"/>
    </row>
    <row r="341" spans="1:12" ht="30" hidden="1" customHeight="1" x14ac:dyDescent="0.25">
      <c r="A341" s="3" t="s">
        <v>171</v>
      </c>
      <c r="B341" s="4" t="s">
        <v>120</v>
      </c>
      <c r="C341" s="4" t="s">
        <v>9</v>
      </c>
      <c r="D341" s="6" t="s">
        <v>45</v>
      </c>
      <c r="E341" s="4" t="str">
        <f t="shared" si="28"/>
        <v>RND</v>
      </c>
      <c r="F341" s="4" t="s">
        <v>51</v>
      </c>
      <c r="G341" s="4" t="s">
        <v>46</v>
      </c>
      <c r="H341" s="6"/>
      <c r="I341" s="6"/>
      <c r="J341" s="4" t="s">
        <v>88</v>
      </c>
      <c r="K341" s="9" t="str">
        <f t="shared" si="27"/>
        <v>Эквадор/Miatel/RND@</v>
      </c>
      <c r="L341" s="4"/>
    </row>
    <row r="342" spans="1:12" ht="30" hidden="1" customHeight="1" x14ac:dyDescent="0.25">
      <c r="A342" s="3" t="s">
        <v>171</v>
      </c>
      <c r="B342" s="4" t="s">
        <v>120</v>
      </c>
      <c r="C342" s="4" t="s">
        <v>7</v>
      </c>
      <c r="D342" s="6" t="s">
        <v>45</v>
      </c>
      <c r="E342" s="4" t="str">
        <f t="shared" si="28"/>
        <v>RND</v>
      </c>
      <c r="F342" s="4" t="s">
        <v>51</v>
      </c>
      <c r="G342" s="4" t="s">
        <v>46</v>
      </c>
      <c r="H342" s="6" t="s">
        <v>16</v>
      </c>
      <c r="I342" s="6"/>
      <c r="J342" s="4" t="s">
        <v>88</v>
      </c>
      <c r="K342" s="9" t="str">
        <f t="shared" si="27"/>
        <v>Эквадор/Sancom/RND/0827pfx@</v>
      </c>
      <c r="L342" s="4"/>
    </row>
    <row r="343" spans="1:12" ht="30" hidden="1" customHeight="1" x14ac:dyDescent="0.25">
      <c r="A343" s="3" t="s">
        <v>171</v>
      </c>
      <c r="B343" s="4" t="s">
        <v>120</v>
      </c>
      <c r="C343" s="4" t="s">
        <v>8</v>
      </c>
      <c r="D343" s="6" t="s">
        <v>45</v>
      </c>
      <c r="E343" s="4" t="str">
        <f t="shared" si="28"/>
        <v>RND</v>
      </c>
      <c r="F343" s="4" t="s">
        <v>51</v>
      </c>
      <c r="G343" s="4" t="s">
        <v>46</v>
      </c>
      <c r="H343" s="6"/>
      <c r="I343" s="6"/>
      <c r="J343" s="4" t="s">
        <v>88</v>
      </c>
      <c r="K343" s="9" t="str">
        <f t="shared" si="27"/>
        <v>Эквадор/Zorra/RND@</v>
      </c>
      <c r="L343" s="4"/>
    </row>
    <row r="344" spans="1:12" ht="30" hidden="1" customHeight="1" x14ac:dyDescent="0.25">
      <c r="A344" s="3" t="s">
        <v>171</v>
      </c>
      <c r="B344" s="4" t="s">
        <v>120</v>
      </c>
      <c r="C344" s="4" t="s">
        <v>256</v>
      </c>
      <c r="D344" s="6" t="s">
        <v>145</v>
      </c>
      <c r="E344" s="4" t="str">
        <f t="shared" si="28"/>
        <v>SIM</v>
      </c>
      <c r="F344" s="4" t="s">
        <v>51</v>
      </c>
      <c r="G344" s="4" t="s">
        <v>46</v>
      </c>
      <c r="H344" s="6"/>
      <c r="I344" s="6"/>
      <c r="J344" s="4" t="s">
        <v>88</v>
      </c>
      <c r="K344" s="9" t="str">
        <f t="shared" si="27"/>
        <v>Эквадор/Шлюз1/SIM@</v>
      </c>
      <c r="L344" s="4"/>
    </row>
    <row r="345" spans="1:12" ht="30" hidden="1" customHeight="1" x14ac:dyDescent="0.25">
      <c r="A345" s="3" t="s">
        <v>171</v>
      </c>
      <c r="B345" s="4" t="s">
        <v>120</v>
      </c>
      <c r="C345" s="4" t="s">
        <v>257</v>
      </c>
      <c r="D345" s="6" t="s">
        <v>145</v>
      </c>
      <c r="E345" s="4" t="str">
        <f t="shared" si="28"/>
        <v>SIM</v>
      </c>
      <c r="F345" s="4" t="s">
        <v>51</v>
      </c>
      <c r="G345" s="4" t="s">
        <v>46</v>
      </c>
      <c r="H345" s="6"/>
      <c r="I345" s="6"/>
      <c r="J345" s="4" t="s">
        <v>88</v>
      </c>
      <c r="K345" s="9" t="str">
        <f t="shared" si="27"/>
        <v>Эквадор/Шлюз2/SIM@</v>
      </c>
      <c r="L345" s="4"/>
    </row>
    <row r="346" spans="1:12" ht="30" hidden="1" customHeight="1" x14ac:dyDescent="0.25">
      <c r="A346" s="3" t="s">
        <v>171</v>
      </c>
      <c r="B346" s="4" t="s">
        <v>120</v>
      </c>
      <c r="C346" s="4" t="s">
        <v>258</v>
      </c>
      <c r="D346" s="6" t="s">
        <v>145</v>
      </c>
      <c r="E346" s="4" t="str">
        <f t="shared" si="28"/>
        <v>SIM</v>
      </c>
      <c r="F346" s="4" t="s">
        <v>51</v>
      </c>
      <c r="G346" s="4" t="s">
        <v>46</v>
      </c>
      <c r="H346" s="6"/>
      <c r="I346" s="6"/>
      <c r="J346" s="4" t="s">
        <v>88</v>
      </c>
      <c r="K346" s="9" t="str">
        <f t="shared" si="27"/>
        <v>Эквадор/Шлюз3/SIM@</v>
      </c>
      <c r="L346" s="4"/>
    </row>
    <row r="347" spans="1:12" ht="30" hidden="1" customHeight="1" x14ac:dyDescent="0.25">
      <c r="A347" s="3" t="s">
        <v>43</v>
      </c>
      <c r="B347" s="4" t="s">
        <v>120</v>
      </c>
      <c r="C347" s="4" t="s">
        <v>9</v>
      </c>
      <c r="D347" s="4" t="s">
        <v>416</v>
      </c>
      <c r="E347" s="4" t="s">
        <v>81</v>
      </c>
      <c r="F347" s="4" t="s">
        <v>76</v>
      </c>
      <c r="G347" s="4" t="s">
        <v>46</v>
      </c>
      <c r="H347" s="6"/>
      <c r="I347" s="6"/>
      <c r="J347" s="4"/>
      <c r="K347" s="9" t="str">
        <f t="shared" si="27"/>
        <v>Эстония/Miatel/Pool_A@</v>
      </c>
      <c r="L347" s="4"/>
    </row>
    <row r="348" spans="1:12" ht="30" hidden="1" customHeight="1" x14ac:dyDescent="0.25">
      <c r="A348" s="3" t="s">
        <v>43</v>
      </c>
      <c r="B348" s="4" t="s">
        <v>120</v>
      </c>
      <c r="C348" s="4" t="s">
        <v>7</v>
      </c>
      <c r="D348" s="4" t="s">
        <v>416</v>
      </c>
      <c r="E348" s="4" t="s">
        <v>81</v>
      </c>
      <c r="F348" s="4" t="s">
        <v>278</v>
      </c>
      <c r="G348" s="4" t="s">
        <v>46</v>
      </c>
      <c r="H348" s="6" t="s">
        <v>12</v>
      </c>
      <c r="I348" s="6"/>
      <c r="J348" s="4"/>
      <c r="K348" s="9" t="str">
        <f t="shared" si="27"/>
        <v>Эстония/Sancom/Pool_A/0789pfx@</v>
      </c>
      <c r="L348" s="4"/>
    </row>
    <row r="349" spans="1:12" ht="30" hidden="1" customHeight="1" x14ac:dyDescent="0.25">
      <c r="A349" s="3" t="s">
        <v>43</v>
      </c>
      <c r="B349" s="4" t="s">
        <v>120</v>
      </c>
      <c r="C349" s="4" t="s">
        <v>7</v>
      </c>
      <c r="D349" s="6" t="s">
        <v>45</v>
      </c>
      <c r="E349" s="4" t="str">
        <f t="shared" ref="E349:E375" si="30">IF(D349="Random","RND",IF(LEN(D349)&gt;15,"Укоротить",IF(D349="Сим-карты","SIM",D349)))</f>
        <v>RND</v>
      </c>
      <c r="F349" s="4" t="s">
        <v>51</v>
      </c>
      <c r="G349" s="4" t="s">
        <v>46</v>
      </c>
      <c r="H349" s="6" t="s">
        <v>12</v>
      </c>
      <c r="I349" s="6"/>
      <c r="J349" s="4" t="s">
        <v>88</v>
      </c>
      <c r="K349" s="9" t="str">
        <f t="shared" si="27"/>
        <v>Эстония/Sancom/RND/0789pfx@</v>
      </c>
      <c r="L349" s="4"/>
    </row>
    <row r="350" spans="1:12" ht="30" hidden="1" customHeight="1" x14ac:dyDescent="0.25">
      <c r="A350" s="3" t="s">
        <v>43</v>
      </c>
      <c r="B350" s="4" t="s">
        <v>120</v>
      </c>
      <c r="C350" s="4" t="s">
        <v>8</v>
      </c>
      <c r="D350" s="6" t="s">
        <v>45</v>
      </c>
      <c r="E350" s="4" t="str">
        <f t="shared" si="30"/>
        <v>RND</v>
      </c>
      <c r="F350" s="4" t="s">
        <v>51</v>
      </c>
      <c r="G350" s="4" t="s">
        <v>46</v>
      </c>
      <c r="H350" s="6"/>
      <c r="I350" s="6"/>
      <c r="J350" s="4" t="s">
        <v>88</v>
      </c>
      <c r="K350" s="9" t="str">
        <f t="shared" si="27"/>
        <v>Эстония/Zorra/RND@</v>
      </c>
      <c r="L350" s="4"/>
    </row>
    <row r="351" spans="1:12" ht="30" hidden="1" customHeight="1" x14ac:dyDescent="0.25">
      <c r="A351" s="3" t="s">
        <v>176</v>
      </c>
      <c r="B351" s="4" t="s">
        <v>120</v>
      </c>
      <c r="C351" s="4" t="s">
        <v>9</v>
      </c>
      <c r="D351" s="6" t="s">
        <v>45</v>
      </c>
      <c r="E351" s="4" t="str">
        <f t="shared" si="30"/>
        <v>RND</v>
      </c>
      <c r="F351" s="4" t="s">
        <v>51</v>
      </c>
      <c r="G351" s="4" t="s">
        <v>46</v>
      </c>
      <c r="H351" s="6"/>
      <c r="I351" s="6"/>
      <c r="J351" s="4" t="s">
        <v>88</v>
      </c>
      <c r="K351" s="9" t="str">
        <f t="shared" si="27"/>
        <v>ЮАР/Miatel/RND@</v>
      </c>
      <c r="L351" s="4"/>
    </row>
    <row r="352" spans="1:12" ht="30" hidden="1" customHeight="1" x14ac:dyDescent="0.25">
      <c r="A352" s="3" t="s">
        <v>176</v>
      </c>
      <c r="B352" s="4" t="s">
        <v>120</v>
      </c>
      <c r="C352" s="4" t="s">
        <v>7</v>
      </c>
      <c r="D352" s="6" t="s">
        <v>45</v>
      </c>
      <c r="E352" s="4" t="str">
        <f t="shared" si="30"/>
        <v>RND</v>
      </c>
      <c r="F352" s="4" t="s">
        <v>51</v>
      </c>
      <c r="G352" s="4" t="s">
        <v>46</v>
      </c>
      <c r="H352" s="6" t="s">
        <v>16</v>
      </c>
      <c r="I352" s="6"/>
      <c r="J352" s="4" t="s">
        <v>88</v>
      </c>
      <c r="K352" s="9" t="str">
        <f t="shared" si="27"/>
        <v>ЮАР/Sancom/RND/0827pfx@</v>
      </c>
      <c r="L352" s="4"/>
    </row>
    <row r="353" spans="1:12" ht="30" hidden="1" customHeight="1" x14ac:dyDescent="0.25">
      <c r="A353" s="3" t="s">
        <v>313</v>
      </c>
      <c r="B353" s="4" t="s">
        <v>120</v>
      </c>
      <c r="C353" s="4" t="s">
        <v>9</v>
      </c>
      <c r="D353" s="6" t="s">
        <v>45</v>
      </c>
      <c r="E353" s="4" t="str">
        <f t="shared" si="30"/>
        <v>RND</v>
      </c>
      <c r="F353" s="4" t="s">
        <v>51</v>
      </c>
      <c r="G353" s="4" t="s">
        <v>46</v>
      </c>
      <c r="H353" s="6"/>
      <c r="I353" s="6"/>
      <c r="J353" s="4" t="s">
        <v>88</v>
      </c>
      <c r="K353" s="9" t="str">
        <f t="shared" si="27"/>
        <v>Япония/Miatel/RND@</v>
      </c>
      <c r="L353" s="4"/>
    </row>
    <row r="354" spans="1:12" ht="30" hidden="1" customHeight="1" x14ac:dyDescent="0.25">
      <c r="A354" s="3" t="s">
        <v>313</v>
      </c>
      <c r="B354" s="4" t="s">
        <v>120</v>
      </c>
      <c r="C354" s="4" t="s">
        <v>8</v>
      </c>
      <c r="D354" s="6" t="s">
        <v>45</v>
      </c>
      <c r="E354" s="4" t="str">
        <f t="shared" si="30"/>
        <v>RND</v>
      </c>
      <c r="F354" s="4" t="s">
        <v>51</v>
      </c>
      <c r="G354" s="4" t="s">
        <v>46</v>
      </c>
      <c r="H354" s="6"/>
      <c r="I354" s="6"/>
      <c r="J354" s="4" t="s">
        <v>88</v>
      </c>
      <c r="K354" s="9" t="str">
        <f t="shared" si="27"/>
        <v>Япония/Zorra/RND@</v>
      </c>
      <c r="L354" s="4"/>
    </row>
    <row r="355" spans="1:12" ht="30" hidden="1" customHeight="1" x14ac:dyDescent="0.25">
      <c r="A355" s="3" t="s">
        <v>313</v>
      </c>
      <c r="B355" s="4" t="s">
        <v>120</v>
      </c>
      <c r="C355" s="4" t="s">
        <v>7</v>
      </c>
      <c r="D355" s="6" t="s">
        <v>45</v>
      </c>
      <c r="E355" s="4" t="str">
        <f t="shared" si="30"/>
        <v>RND</v>
      </c>
      <c r="F355" s="4" t="s">
        <v>51</v>
      </c>
      <c r="G355" s="4" t="s">
        <v>46</v>
      </c>
      <c r="H355" s="6" t="s">
        <v>16</v>
      </c>
      <c r="I355" s="6"/>
      <c r="J355" s="4" t="s">
        <v>88</v>
      </c>
      <c r="K355" s="9" t="str">
        <f t="shared" si="27"/>
        <v>Япония/Sancom/RND/0827pfx@</v>
      </c>
      <c r="L355" s="4"/>
    </row>
    <row r="356" spans="1:12" ht="30" hidden="1" customHeight="1" x14ac:dyDescent="0.25">
      <c r="A356" s="14" t="s">
        <v>36</v>
      </c>
      <c r="B356" s="15" t="s">
        <v>120</v>
      </c>
      <c r="C356" s="15" t="s">
        <v>9</v>
      </c>
      <c r="D356" s="16" t="s">
        <v>225</v>
      </c>
      <c r="E356" s="15" t="str">
        <f t="shared" si="30"/>
        <v>40368228102</v>
      </c>
      <c r="F356" s="15" t="s">
        <v>227</v>
      </c>
      <c r="G356" s="15" t="s">
        <v>48</v>
      </c>
      <c r="H356" s="16"/>
      <c r="I356" s="16"/>
      <c r="J356" s="15"/>
      <c r="K356" s="17" t="str">
        <f t="shared" si="27"/>
        <v>Румыния/Miatel/40368228102@</v>
      </c>
      <c r="L356" s="16" t="s">
        <v>254</v>
      </c>
    </row>
    <row r="357" spans="1:12" ht="30" hidden="1" customHeight="1" x14ac:dyDescent="0.25">
      <c r="A357" s="14" t="s">
        <v>36</v>
      </c>
      <c r="B357" s="15" t="s">
        <v>120</v>
      </c>
      <c r="C357" s="15" t="s">
        <v>9</v>
      </c>
      <c r="D357" s="16" t="s">
        <v>226</v>
      </c>
      <c r="E357" s="15" t="str">
        <f t="shared" si="30"/>
        <v>40368228106</v>
      </c>
      <c r="F357" s="15" t="s">
        <v>228</v>
      </c>
      <c r="G357" s="15" t="s">
        <v>48</v>
      </c>
      <c r="H357" s="16"/>
      <c r="I357" s="16"/>
      <c r="J357" s="15"/>
      <c r="K357" s="17" t="str">
        <f t="shared" si="27"/>
        <v>Румыния/Miatel/40368228106@</v>
      </c>
      <c r="L357" s="16" t="s">
        <v>254</v>
      </c>
    </row>
    <row r="358" spans="1:12" ht="30" hidden="1" customHeight="1" x14ac:dyDescent="0.25">
      <c r="A358" s="14" t="s">
        <v>36</v>
      </c>
      <c r="B358" s="15" t="s">
        <v>120</v>
      </c>
      <c r="C358" s="15" t="s">
        <v>9</v>
      </c>
      <c r="D358" s="16" t="s">
        <v>229</v>
      </c>
      <c r="E358" s="15" t="str">
        <f t="shared" si="30"/>
        <v>40368228107</v>
      </c>
      <c r="F358" s="15" t="s">
        <v>230</v>
      </c>
      <c r="G358" s="15" t="s">
        <v>48</v>
      </c>
      <c r="H358" s="16"/>
      <c r="I358" s="16"/>
      <c r="J358" s="15"/>
      <c r="K358" s="17" t="str">
        <f t="shared" si="27"/>
        <v>Румыния/Miatel/40368228107@</v>
      </c>
      <c r="L358" s="16" t="s">
        <v>254</v>
      </c>
    </row>
    <row r="359" spans="1:12" ht="30" hidden="1" customHeight="1" x14ac:dyDescent="0.25">
      <c r="A359" s="14" t="s">
        <v>105</v>
      </c>
      <c r="B359" s="15" t="s">
        <v>206</v>
      </c>
      <c r="C359" s="15" t="s">
        <v>197</v>
      </c>
      <c r="D359" s="16" t="s">
        <v>198</v>
      </c>
      <c r="E359" s="15" t="str">
        <f t="shared" si="30"/>
        <v>56229141100</v>
      </c>
      <c r="F359" s="15" t="s">
        <v>203</v>
      </c>
      <c r="G359" s="15" t="s">
        <v>46</v>
      </c>
      <c r="H359" s="16" t="s">
        <v>97</v>
      </c>
      <c r="I359" s="16"/>
      <c r="J359" s="15"/>
      <c r="K359" s="17" t="str">
        <f t="shared" si="27"/>
        <v>Чили/VoIPPro/56229141100/00000pfx@</v>
      </c>
      <c r="L359" s="15" t="s">
        <v>205</v>
      </c>
    </row>
    <row r="360" spans="1:12" ht="30" hidden="1" customHeight="1" x14ac:dyDescent="0.25">
      <c r="A360" s="14" t="s">
        <v>105</v>
      </c>
      <c r="B360" s="15" t="s">
        <v>206</v>
      </c>
      <c r="C360" s="15" t="s">
        <v>197</v>
      </c>
      <c r="D360" s="16" t="s">
        <v>199</v>
      </c>
      <c r="E360" s="15" t="str">
        <f t="shared" si="30"/>
        <v>56229141101</v>
      </c>
      <c r="F360" s="15" t="s">
        <v>203</v>
      </c>
      <c r="G360" s="15" t="s">
        <v>46</v>
      </c>
      <c r="H360" s="16" t="s">
        <v>97</v>
      </c>
      <c r="I360" s="16"/>
      <c r="J360" s="15"/>
      <c r="K360" s="17" t="str">
        <f t="shared" si="27"/>
        <v>Чили/VoIPPro/56229141101/00000pfx@</v>
      </c>
      <c r="L360" s="15" t="s">
        <v>205</v>
      </c>
    </row>
    <row r="361" spans="1:12" ht="30" hidden="1" customHeight="1" x14ac:dyDescent="0.25">
      <c r="A361" s="14" t="s">
        <v>105</v>
      </c>
      <c r="B361" s="15" t="s">
        <v>206</v>
      </c>
      <c r="C361" s="15" t="s">
        <v>197</v>
      </c>
      <c r="D361" s="16" t="s">
        <v>200</v>
      </c>
      <c r="E361" s="15" t="str">
        <f t="shared" si="30"/>
        <v>56229141102</v>
      </c>
      <c r="F361" s="15" t="s">
        <v>203</v>
      </c>
      <c r="G361" s="15" t="s">
        <v>46</v>
      </c>
      <c r="H361" s="16" t="s">
        <v>97</v>
      </c>
      <c r="I361" s="16"/>
      <c r="J361" s="15"/>
      <c r="K361" s="17" t="str">
        <f t="shared" si="27"/>
        <v>Чили/VoIPPro/56229141102/00000pfx@</v>
      </c>
      <c r="L361" s="15" t="s">
        <v>205</v>
      </c>
    </row>
    <row r="362" spans="1:12" ht="30" hidden="1" customHeight="1" x14ac:dyDescent="0.25">
      <c r="A362" s="14" t="s">
        <v>105</v>
      </c>
      <c r="B362" s="15" t="s">
        <v>206</v>
      </c>
      <c r="C362" s="15" t="s">
        <v>197</v>
      </c>
      <c r="D362" s="16" t="s">
        <v>201</v>
      </c>
      <c r="E362" s="15" t="str">
        <f t="shared" si="30"/>
        <v>56229141103</v>
      </c>
      <c r="F362" s="15" t="s">
        <v>203</v>
      </c>
      <c r="G362" s="15" t="s">
        <v>46</v>
      </c>
      <c r="H362" s="16" t="s">
        <v>97</v>
      </c>
      <c r="I362" s="16"/>
      <c r="J362" s="15"/>
      <c r="K362" s="17" t="str">
        <f t="shared" si="27"/>
        <v>Чили/VoIPPro/56229141103/00000pfx@</v>
      </c>
      <c r="L362" s="15" t="s">
        <v>205</v>
      </c>
    </row>
    <row r="363" spans="1:12" ht="30" hidden="1" customHeight="1" x14ac:dyDescent="0.25">
      <c r="A363" s="14" t="s">
        <v>105</v>
      </c>
      <c r="B363" s="15" t="s">
        <v>206</v>
      </c>
      <c r="C363" s="15" t="s">
        <v>197</v>
      </c>
      <c r="D363" s="16" t="s">
        <v>202</v>
      </c>
      <c r="E363" s="15" t="str">
        <f t="shared" si="30"/>
        <v>56229141104</v>
      </c>
      <c r="F363" s="15" t="s">
        <v>203</v>
      </c>
      <c r="G363" s="15" t="s">
        <v>46</v>
      </c>
      <c r="H363" s="16" t="s">
        <v>97</v>
      </c>
      <c r="I363" s="16"/>
      <c r="J363" s="15"/>
      <c r="K363" s="17" t="str">
        <f t="shared" si="27"/>
        <v>Чили/VoIPPro/56229141104/00000pfx@</v>
      </c>
      <c r="L363" s="15" t="s">
        <v>205</v>
      </c>
    </row>
    <row r="364" spans="1:12" ht="30" hidden="1" customHeight="1" x14ac:dyDescent="0.25">
      <c r="A364" s="18" t="s">
        <v>18</v>
      </c>
      <c r="B364" s="19" t="s">
        <v>120</v>
      </c>
      <c r="C364" s="19" t="s">
        <v>123</v>
      </c>
      <c r="D364" s="20" t="s">
        <v>50</v>
      </c>
      <c r="E364" s="19" t="str">
        <f t="shared" si="30"/>
        <v>SIM</v>
      </c>
      <c r="F364" s="19"/>
      <c r="G364" s="19" t="s">
        <v>46</v>
      </c>
      <c r="H364" s="20"/>
      <c r="I364" s="20"/>
      <c r="J364" s="19" t="s">
        <v>126</v>
      </c>
      <c r="K364" s="21" t="str">
        <f t="shared" si="27"/>
        <v>Албания/Шлюз_NEW1/SIM@</v>
      </c>
      <c r="L364" s="19" t="s">
        <v>253</v>
      </c>
    </row>
    <row r="365" spans="1:12" ht="30" hidden="1" customHeight="1" x14ac:dyDescent="0.25">
      <c r="A365" s="18" t="s">
        <v>18</v>
      </c>
      <c r="B365" s="19" t="s">
        <v>120</v>
      </c>
      <c r="C365" s="19" t="s">
        <v>124</v>
      </c>
      <c r="D365" s="20" t="s">
        <v>50</v>
      </c>
      <c r="E365" s="19" t="str">
        <f t="shared" si="30"/>
        <v>SIM</v>
      </c>
      <c r="F365" s="19"/>
      <c r="G365" s="19" t="s">
        <v>46</v>
      </c>
      <c r="H365" s="20"/>
      <c r="I365" s="20"/>
      <c r="J365" s="19" t="s">
        <v>125</v>
      </c>
      <c r="K365" s="21" t="str">
        <f t="shared" si="27"/>
        <v>Албания/Шлюз_NEW2/SIM@</v>
      </c>
      <c r="L365" s="19" t="s">
        <v>253</v>
      </c>
    </row>
    <row r="366" spans="1:12" ht="30" hidden="1" customHeight="1" x14ac:dyDescent="0.25">
      <c r="A366" s="18" t="s">
        <v>27</v>
      </c>
      <c r="B366" s="19" t="s">
        <v>120</v>
      </c>
      <c r="C366" s="19" t="s">
        <v>123</v>
      </c>
      <c r="D366" s="20" t="s">
        <v>50</v>
      </c>
      <c r="E366" s="19" t="str">
        <f t="shared" si="30"/>
        <v>SIM</v>
      </c>
      <c r="F366" s="19"/>
      <c r="G366" s="19" t="s">
        <v>46</v>
      </c>
      <c r="H366" s="20"/>
      <c r="I366" s="20"/>
      <c r="J366" s="19" t="s">
        <v>126</v>
      </c>
      <c r="K366" s="21" t="str">
        <f t="shared" si="27"/>
        <v>Косово/Шлюз_NEW1/SIM@</v>
      </c>
      <c r="L366" s="19" t="s">
        <v>253</v>
      </c>
    </row>
    <row r="367" spans="1:12" ht="30" hidden="1" customHeight="1" x14ac:dyDescent="0.25">
      <c r="A367" s="18" t="s">
        <v>27</v>
      </c>
      <c r="B367" s="19" t="s">
        <v>120</v>
      </c>
      <c r="C367" s="19" t="s">
        <v>124</v>
      </c>
      <c r="D367" s="20" t="s">
        <v>50</v>
      </c>
      <c r="E367" s="19" t="str">
        <f t="shared" si="30"/>
        <v>SIM</v>
      </c>
      <c r="F367" s="19"/>
      <c r="G367" s="19" t="s">
        <v>46</v>
      </c>
      <c r="H367" s="20"/>
      <c r="I367" s="20"/>
      <c r="J367" s="19" t="s">
        <v>125</v>
      </c>
      <c r="K367" s="21" t="str">
        <f t="shared" si="27"/>
        <v>Косово/Шлюз_NEW2/SIM@</v>
      </c>
      <c r="L367" s="19" t="s">
        <v>253</v>
      </c>
    </row>
    <row r="368" spans="1:12" ht="30" hidden="1" customHeight="1" x14ac:dyDescent="0.25">
      <c r="A368" s="18" t="s">
        <v>28</v>
      </c>
      <c r="B368" s="19" t="s">
        <v>120</v>
      </c>
      <c r="C368" s="19" t="s">
        <v>11</v>
      </c>
      <c r="D368" s="20" t="s">
        <v>50</v>
      </c>
      <c r="E368" s="19" t="str">
        <f t="shared" si="30"/>
        <v>SIM</v>
      </c>
      <c r="F368" s="19"/>
      <c r="G368" s="19"/>
      <c r="H368" s="20"/>
      <c r="I368" s="20"/>
      <c r="J368" s="19"/>
      <c r="K368" s="21" t="str">
        <f t="shared" si="27"/>
        <v>Латвия/Шлюз/SIM@</v>
      </c>
      <c r="L368" s="19" t="s">
        <v>253</v>
      </c>
    </row>
    <row r="369" spans="1:12" ht="30" hidden="1" customHeight="1" x14ac:dyDescent="0.25">
      <c r="A369" s="18" t="s">
        <v>29</v>
      </c>
      <c r="B369" s="19" t="s">
        <v>120</v>
      </c>
      <c r="C369" s="19" t="s">
        <v>11</v>
      </c>
      <c r="D369" s="20" t="s">
        <v>50</v>
      </c>
      <c r="E369" s="19" t="str">
        <f t="shared" si="30"/>
        <v>SIM</v>
      </c>
      <c r="F369" s="19"/>
      <c r="G369" s="19"/>
      <c r="H369" s="20"/>
      <c r="I369" s="20"/>
      <c r="J369" s="19" t="s">
        <v>75</v>
      </c>
      <c r="K369" s="21" t="str">
        <f t="shared" si="27"/>
        <v>Литва/Шлюз/SIM@</v>
      </c>
      <c r="L369" s="19" t="s">
        <v>253</v>
      </c>
    </row>
    <row r="370" spans="1:12" ht="30" hidden="1" customHeight="1" x14ac:dyDescent="0.25">
      <c r="A370" s="18" t="s">
        <v>213</v>
      </c>
      <c r="B370" s="19" t="s">
        <v>218</v>
      </c>
      <c r="C370" s="19" t="s">
        <v>9</v>
      </c>
      <c r="D370" s="20" t="s">
        <v>214</v>
      </c>
      <c r="E370" s="19" t="str">
        <f t="shared" si="30"/>
        <v>380947100183</v>
      </c>
      <c r="F370" s="19" t="s">
        <v>216</v>
      </c>
      <c r="G370" s="19" t="s">
        <v>48</v>
      </c>
      <c r="H370" s="20"/>
      <c r="I370" s="20"/>
      <c r="J370" s="19" t="s">
        <v>88</v>
      </c>
      <c r="K370" s="21" t="str">
        <f t="shared" si="27"/>
        <v>Украина/Miatel/380947100183@</v>
      </c>
      <c r="L370" s="19" t="s">
        <v>255</v>
      </c>
    </row>
    <row r="371" spans="1:12" ht="30" hidden="1" customHeight="1" x14ac:dyDescent="0.25">
      <c r="A371" s="18" t="s">
        <v>213</v>
      </c>
      <c r="B371" s="19" t="s">
        <v>218</v>
      </c>
      <c r="C371" s="19" t="s">
        <v>9</v>
      </c>
      <c r="D371" s="20" t="s">
        <v>215</v>
      </c>
      <c r="E371" s="19" t="str">
        <f t="shared" si="30"/>
        <v>380947100874</v>
      </c>
      <c r="F371" s="19" t="s">
        <v>217</v>
      </c>
      <c r="G371" s="19" t="s">
        <v>48</v>
      </c>
      <c r="H371" s="20"/>
      <c r="I371" s="20"/>
      <c r="J371" s="19" t="s">
        <v>88</v>
      </c>
      <c r="K371" s="21" t="str">
        <f t="shared" si="27"/>
        <v>Украина/Miatel/380947100874@</v>
      </c>
      <c r="L371" s="19" t="s">
        <v>255</v>
      </c>
    </row>
    <row r="372" spans="1:12" ht="30" hidden="1" customHeight="1" x14ac:dyDescent="0.25">
      <c r="A372" s="18" t="s">
        <v>42</v>
      </c>
      <c r="B372" s="19" t="s">
        <v>120</v>
      </c>
      <c r="C372" s="19" t="s">
        <v>9</v>
      </c>
      <c r="D372" s="20" t="s">
        <v>45</v>
      </c>
      <c r="E372" s="19" t="str">
        <f t="shared" si="30"/>
        <v>RND</v>
      </c>
      <c r="F372" s="19" t="s">
        <v>163</v>
      </c>
      <c r="G372" s="19" t="s">
        <v>46</v>
      </c>
      <c r="H372" s="20" t="s">
        <v>158</v>
      </c>
      <c r="I372" s="20"/>
      <c r="J372" s="19" t="s">
        <v>157</v>
      </c>
      <c r="K372" s="21" t="str">
        <f t="shared" si="27"/>
        <v>Швейцария/Miatel/RND/0333pfx@</v>
      </c>
      <c r="L372" s="19" t="s">
        <v>264</v>
      </c>
    </row>
    <row r="373" spans="1:12" ht="30" hidden="1" customHeight="1" x14ac:dyDescent="0.25">
      <c r="A373" s="18" t="s">
        <v>42</v>
      </c>
      <c r="B373" s="19" t="s">
        <v>120</v>
      </c>
      <c r="C373" s="19" t="s">
        <v>9</v>
      </c>
      <c r="D373" s="20" t="s">
        <v>45</v>
      </c>
      <c r="E373" s="19" t="str">
        <f t="shared" si="30"/>
        <v>RND</v>
      </c>
      <c r="F373" s="19" t="s">
        <v>164</v>
      </c>
      <c r="G373" s="19" t="s">
        <v>46</v>
      </c>
      <c r="H373" s="20" t="s">
        <v>159</v>
      </c>
      <c r="I373" s="20"/>
      <c r="J373" s="19" t="s">
        <v>152</v>
      </c>
      <c r="K373" s="21" t="str">
        <f t="shared" si="27"/>
        <v>Швейцария/Miatel/RND/0444pfx@</v>
      </c>
      <c r="L373" s="19" t="s">
        <v>264</v>
      </c>
    </row>
    <row r="374" spans="1:12" ht="30" hidden="1" customHeight="1" x14ac:dyDescent="0.25">
      <c r="A374" s="18" t="s">
        <v>43</v>
      </c>
      <c r="B374" s="19" t="s">
        <v>120</v>
      </c>
      <c r="C374" s="19" t="s">
        <v>11</v>
      </c>
      <c r="D374" s="20" t="s">
        <v>50</v>
      </c>
      <c r="E374" s="19" t="str">
        <f t="shared" si="30"/>
        <v>SIM</v>
      </c>
      <c r="F374" s="19"/>
      <c r="G374" s="19"/>
      <c r="H374" s="20"/>
      <c r="I374" s="20"/>
      <c r="J374" s="19"/>
      <c r="K374" s="21" t="str">
        <f t="shared" ref="K374:K383" si="31">IF(OR(E374="Укоротить",E374=0),"Нет номера",A374&amp;IF(ISBLANK(I374),"",$K$3&amp;I374)&amp;$K$3&amp;C374&amp;$K$3&amp;E374&amp;IF(ISBLANK(H374),"",$K$3&amp;H374&amp;"pfx")&amp;"@")</f>
        <v>Эстония/Шлюз/SIM@</v>
      </c>
      <c r="L374" s="19" t="s">
        <v>253</v>
      </c>
    </row>
    <row r="375" spans="1:12" ht="30" hidden="1" customHeight="1" x14ac:dyDescent="0.25">
      <c r="A375" s="10" t="s">
        <v>18</v>
      </c>
      <c r="B375" s="11" t="s">
        <v>120</v>
      </c>
      <c r="C375" s="11" t="s">
        <v>11</v>
      </c>
      <c r="D375" s="12" t="s">
        <v>50</v>
      </c>
      <c r="E375" s="11" t="str">
        <f t="shared" si="30"/>
        <v>SIM</v>
      </c>
      <c r="F375" s="11"/>
      <c r="G375" s="11"/>
      <c r="H375" s="12"/>
      <c r="I375" s="12"/>
      <c r="J375" s="11" t="s">
        <v>162</v>
      </c>
      <c r="K375" s="13" t="str">
        <f t="shared" si="31"/>
        <v>Албания/Шлюз/SIM@</v>
      </c>
      <c r="L375" s="11"/>
    </row>
    <row r="376" spans="1:12" ht="30" hidden="1" customHeight="1" x14ac:dyDescent="0.25">
      <c r="A376" s="10" t="s">
        <v>19</v>
      </c>
      <c r="B376" s="11" t="s">
        <v>120</v>
      </c>
      <c r="C376" s="11" t="s">
        <v>10</v>
      </c>
      <c r="D376" s="12" t="s">
        <v>53</v>
      </c>
      <c r="E376" s="11" t="s">
        <v>81</v>
      </c>
      <c r="F376" s="11" t="s">
        <v>54</v>
      </c>
      <c r="G376" s="11" t="s">
        <v>48</v>
      </c>
      <c r="H376" s="12"/>
      <c r="I376" s="12"/>
      <c r="J376" s="11"/>
      <c r="K376" s="13" t="str">
        <f t="shared" si="31"/>
        <v>Болгария/Inftele/Pool_A@</v>
      </c>
      <c r="L376" s="11"/>
    </row>
    <row r="377" spans="1:12" ht="30" hidden="1" customHeight="1" x14ac:dyDescent="0.25">
      <c r="A377" s="10" t="s">
        <v>207</v>
      </c>
      <c r="B377" s="11" t="s">
        <v>120</v>
      </c>
      <c r="C377" s="11" t="s">
        <v>11</v>
      </c>
      <c r="D377" s="12" t="s">
        <v>50</v>
      </c>
      <c r="E377" s="11" t="str">
        <f t="shared" ref="E377:E383" si="32">IF(D377="Random","RND",IF(LEN(D377)&gt;15,"Укоротить",IF(D377="Сим-карты","SIM",D377)))</f>
        <v>SIM</v>
      </c>
      <c r="F377" s="11" t="s">
        <v>51</v>
      </c>
      <c r="G377" s="11"/>
      <c r="H377" s="12"/>
      <c r="I377" s="12"/>
      <c r="J377" s="11"/>
      <c r="K377" s="13" t="str">
        <f t="shared" si="31"/>
        <v>Босния/Шлюз/SIM@</v>
      </c>
      <c r="L377" s="11" t="s">
        <v>208</v>
      </c>
    </row>
    <row r="378" spans="1:12" ht="30" hidden="1" customHeight="1" x14ac:dyDescent="0.25">
      <c r="A378" s="10" t="s">
        <v>237</v>
      </c>
      <c r="B378" s="11" t="s">
        <v>188</v>
      </c>
      <c r="C378" s="11" t="s">
        <v>9</v>
      </c>
      <c r="D378" s="12" t="s">
        <v>238</v>
      </c>
      <c r="E378" s="11" t="str">
        <f t="shared" si="32"/>
        <v>442039546475</v>
      </c>
      <c r="F378" s="11" t="s">
        <v>241</v>
      </c>
      <c r="G378" s="11" t="s">
        <v>48</v>
      </c>
      <c r="H378" s="12"/>
      <c r="I378" s="12" t="s">
        <v>244</v>
      </c>
      <c r="J378" s="11"/>
      <c r="K378" s="13" t="str">
        <f t="shared" si="31"/>
        <v>Великобритания/Amazon/Miatel/442039546475@</v>
      </c>
      <c r="L378" s="11" t="s">
        <v>252</v>
      </c>
    </row>
    <row r="379" spans="1:12" ht="30" hidden="1" customHeight="1" x14ac:dyDescent="0.25">
      <c r="A379" s="10" t="s">
        <v>237</v>
      </c>
      <c r="B379" s="11" t="s">
        <v>188</v>
      </c>
      <c r="C379" s="11" t="s">
        <v>9</v>
      </c>
      <c r="D379" s="12" t="s">
        <v>239</v>
      </c>
      <c r="E379" s="11" t="str">
        <f t="shared" si="32"/>
        <v>442039546485</v>
      </c>
      <c r="F379" s="11" t="s">
        <v>242</v>
      </c>
      <c r="G379" s="11" t="s">
        <v>48</v>
      </c>
      <c r="H379" s="12"/>
      <c r="I379" s="12" t="s">
        <v>244</v>
      </c>
      <c r="J379" s="11"/>
      <c r="K379" s="13" t="str">
        <f t="shared" si="31"/>
        <v>Великобритания/Amazon/Miatel/442039546485@</v>
      </c>
      <c r="L379" s="11" t="s">
        <v>252</v>
      </c>
    </row>
    <row r="380" spans="1:12" ht="30" hidden="1" customHeight="1" x14ac:dyDescent="0.25">
      <c r="A380" s="10" t="s">
        <v>237</v>
      </c>
      <c r="B380" s="11" t="s">
        <v>188</v>
      </c>
      <c r="C380" s="11" t="s">
        <v>9</v>
      </c>
      <c r="D380" s="12" t="s">
        <v>240</v>
      </c>
      <c r="E380" s="11" t="str">
        <f t="shared" si="32"/>
        <v>442039546495</v>
      </c>
      <c r="F380" s="11" t="s">
        <v>243</v>
      </c>
      <c r="G380" s="11" t="s">
        <v>48</v>
      </c>
      <c r="H380" s="12"/>
      <c r="I380" s="12" t="s">
        <v>244</v>
      </c>
      <c r="J380" s="11"/>
      <c r="K380" s="13" t="str">
        <f t="shared" si="31"/>
        <v>Великобритания/Amazon/Miatel/442039546495@</v>
      </c>
      <c r="L380" s="11" t="s">
        <v>252</v>
      </c>
    </row>
    <row r="381" spans="1:12" ht="30" hidden="1" customHeight="1" x14ac:dyDescent="0.25">
      <c r="A381" s="10" t="s">
        <v>21</v>
      </c>
      <c r="B381" s="11" t="s">
        <v>188</v>
      </c>
      <c r="C381" s="11" t="s">
        <v>9</v>
      </c>
      <c r="D381" s="12" t="s">
        <v>238</v>
      </c>
      <c r="E381" s="11" t="str">
        <f t="shared" si="32"/>
        <v>442039546475</v>
      </c>
      <c r="F381" s="11" t="s">
        <v>241</v>
      </c>
      <c r="G381" s="11" t="s">
        <v>48</v>
      </c>
      <c r="H381" s="12"/>
      <c r="I381" s="12" t="s">
        <v>244</v>
      </c>
      <c r="J381" s="11"/>
      <c r="K381" s="13" t="str">
        <f t="shared" si="31"/>
        <v>Германия/Amazon/Miatel/442039546475@</v>
      </c>
      <c r="L381" s="11" t="s">
        <v>252</v>
      </c>
    </row>
    <row r="382" spans="1:12" ht="30" hidden="1" customHeight="1" x14ac:dyDescent="0.25">
      <c r="A382" s="10" t="s">
        <v>21</v>
      </c>
      <c r="B382" s="11" t="s">
        <v>188</v>
      </c>
      <c r="C382" s="11" t="s">
        <v>9</v>
      </c>
      <c r="D382" s="12" t="s">
        <v>239</v>
      </c>
      <c r="E382" s="11" t="str">
        <f t="shared" si="32"/>
        <v>442039546485</v>
      </c>
      <c r="F382" s="11" t="s">
        <v>242</v>
      </c>
      <c r="G382" s="11" t="s">
        <v>48</v>
      </c>
      <c r="H382" s="12"/>
      <c r="I382" s="12" t="s">
        <v>244</v>
      </c>
      <c r="J382" s="11"/>
      <c r="K382" s="13" t="str">
        <f t="shared" si="31"/>
        <v>Германия/Amazon/Miatel/442039546485@</v>
      </c>
      <c r="L382" s="11" t="s">
        <v>252</v>
      </c>
    </row>
    <row r="383" spans="1:12" ht="30" hidden="1" customHeight="1" x14ac:dyDescent="0.25">
      <c r="A383" s="10" t="s">
        <v>21</v>
      </c>
      <c r="B383" s="11" t="s">
        <v>188</v>
      </c>
      <c r="C383" s="11" t="s">
        <v>9</v>
      </c>
      <c r="D383" s="12" t="s">
        <v>240</v>
      </c>
      <c r="E383" s="11" t="str">
        <f t="shared" si="32"/>
        <v>442039546495</v>
      </c>
      <c r="F383" s="11" t="s">
        <v>243</v>
      </c>
      <c r="G383" s="11" t="s">
        <v>48</v>
      </c>
      <c r="H383" s="12"/>
      <c r="I383" s="12" t="s">
        <v>244</v>
      </c>
      <c r="J383" s="11"/>
      <c r="K383" s="13" t="str">
        <f t="shared" si="31"/>
        <v>Германия/Amazon/Miatel/442039546495@</v>
      </c>
      <c r="L383" s="11" t="s">
        <v>252</v>
      </c>
    </row>
    <row r="384" spans="1:12" ht="30" hidden="1" customHeight="1" x14ac:dyDescent="0.25">
      <c r="A384" s="10" t="s">
        <v>22</v>
      </c>
      <c r="B384" s="11" t="s">
        <v>120</v>
      </c>
      <c r="C384" s="11" t="s">
        <v>9</v>
      </c>
      <c r="D384" s="12" t="s">
        <v>146</v>
      </c>
      <c r="E384" s="11" t="s">
        <v>81</v>
      </c>
      <c r="F384" s="11" t="s">
        <v>147</v>
      </c>
      <c r="G384" s="11" t="s">
        <v>48</v>
      </c>
      <c r="H384" s="12"/>
      <c r="I384" s="12"/>
      <c r="J384" s="11" t="s">
        <v>180</v>
      </c>
      <c r="K384" s="13" t="str">
        <f t="shared" ref="K384:K437" si="33">IF(OR(E384="Укоротить",E384=0),"Нет номера",A384&amp;IF(ISBLANK(I384),"",$K$3&amp;I384)&amp;$K$3&amp;C384&amp;$K$3&amp;E384&amp;IF(ISBLANK(H384),"",$K$3&amp;H384&amp;"pfx")&amp;"@")</f>
        <v>Греция/Miatel/Pool_A@</v>
      </c>
      <c r="L384" s="11"/>
    </row>
    <row r="385" spans="1:12" ht="30" hidden="1" customHeight="1" x14ac:dyDescent="0.25">
      <c r="A385" s="10" t="s">
        <v>22</v>
      </c>
      <c r="B385" s="11" t="s">
        <v>120</v>
      </c>
      <c r="C385" s="11" t="s">
        <v>7</v>
      </c>
      <c r="D385" s="12" t="s">
        <v>146</v>
      </c>
      <c r="E385" s="11" t="s">
        <v>81</v>
      </c>
      <c r="F385" s="11" t="s">
        <v>147</v>
      </c>
      <c r="G385" s="11" t="s">
        <v>48</v>
      </c>
      <c r="H385" s="12" t="s">
        <v>12</v>
      </c>
      <c r="I385" s="12"/>
      <c r="J385" s="11" t="s">
        <v>180</v>
      </c>
      <c r="K385" s="13" t="str">
        <f t="shared" si="33"/>
        <v>Греция/Sancom/Pool_A/0789pfx@</v>
      </c>
      <c r="L385" s="11"/>
    </row>
    <row r="386" spans="1:12" ht="30" hidden="1" customHeight="1" x14ac:dyDescent="0.25">
      <c r="A386" s="10" t="s">
        <v>132</v>
      </c>
      <c r="B386" s="11" t="s">
        <v>133</v>
      </c>
      <c r="C386" s="11" t="s">
        <v>9</v>
      </c>
      <c r="D386" s="12" t="s">
        <v>135</v>
      </c>
      <c r="E386" s="11" t="s">
        <v>81</v>
      </c>
      <c r="F386" s="11" t="s">
        <v>136</v>
      </c>
      <c r="G386" s="11" t="s">
        <v>48</v>
      </c>
      <c r="H386" s="12"/>
      <c r="I386" s="12"/>
      <c r="J386" s="11"/>
      <c r="K386" s="13" t="str">
        <f t="shared" si="33"/>
        <v>Индонезия/Miatel/Pool_A@</v>
      </c>
      <c r="L386" s="11"/>
    </row>
    <row r="387" spans="1:12" ht="30" hidden="1" customHeight="1" x14ac:dyDescent="0.25">
      <c r="A387" s="10" t="s">
        <v>132</v>
      </c>
      <c r="B387" s="11" t="s">
        <v>133</v>
      </c>
      <c r="C387" s="11" t="s">
        <v>9</v>
      </c>
      <c r="D387" s="12" t="s">
        <v>45</v>
      </c>
      <c r="E387" s="11" t="str">
        <f>IF(D387="Random","RND",IF(LEN(D387)&gt;15,"Укоротить",IF(D387="Сим-карты","SIM",D387)))</f>
        <v>RND</v>
      </c>
      <c r="F387" s="11" t="s">
        <v>137</v>
      </c>
      <c r="G387" s="11" t="s">
        <v>46</v>
      </c>
      <c r="H387" s="12" t="s">
        <v>138</v>
      </c>
      <c r="I387" s="12"/>
      <c r="J387" s="11" t="s">
        <v>88</v>
      </c>
      <c r="K387" s="13" t="str">
        <f t="shared" si="33"/>
        <v>Индонезия/Miatel/RND/5555pfx@</v>
      </c>
      <c r="L387" s="11"/>
    </row>
    <row r="388" spans="1:12" ht="30" hidden="1" customHeight="1" x14ac:dyDescent="0.25">
      <c r="A388" s="10" t="s">
        <v>132</v>
      </c>
      <c r="B388" s="11" t="s">
        <v>133</v>
      </c>
      <c r="C388" s="11" t="s">
        <v>7</v>
      </c>
      <c r="D388" s="12" t="s">
        <v>45</v>
      </c>
      <c r="E388" s="11" t="str">
        <f>IF(D388="Random","RND",IF(LEN(D388)&gt;15,"Укоротить",IF(D388="Сим-карты","SIM",D388)))</f>
        <v>RND</v>
      </c>
      <c r="F388" s="11" t="s">
        <v>51</v>
      </c>
      <c r="G388" s="11" t="s">
        <v>46</v>
      </c>
      <c r="H388" s="12" t="s">
        <v>12</v>
      </c>
      <c r="I388" s="12"/>
      <c r="J388" s="11" t="s">
        <v>88</v>
      </c>
      <c r="K388" s="13" t="str">
        <f t="shared" si="33"/>
        <v>Индонезия/Sancom/RND/0789pfx@</v>
      </c>
      <c r="L388" s="11"/>
    </row>
    <row r="389" spans="1:12" ht="30" hidden="1" customHeight="1" x14ac:dyDescent="0.25">
      <c r="A389" s="10" t="s">
        <v>132</v>
      </c>
      <c r="B389" s="11" t="s">
        <v>133</v>
      </c>
      <c r="C389" s="11" t="s">
        <v>7</v>
      </c>
      <c r="D389" s="12" t="s">
        <v>45</v>
      </c>
      <c r="E389" s="11" t="str">
        <f>IF(D389="Random","RND",IF(LEN(D389)&gt;15,"Укоротить",IF(D389="Сим-карты","SIM",D389)))</f>
        <v>RND</v>
      </c>
      <c r="F389" s="11" t="s">
        <v>51</v>
      </c>
      <c r="G389" s="11" t="s">
        <v>46</v>
      </c>
      <c r="H389" s="12" t="s">
        <v>16</v>
      </c>
      <c r="I389" s="12"/>
      <c r="J389" s="11" t="s">
        <v>88</v>
      </c>
      <c r="K389" s="13" t="str">
        <f t="shared" si="33"/>
        <v>Индонезия/Sancom/RND/0827pfx@</v>
      </c>
      <c r="L389" s="11"/>
    </row>
    <row r="390" spans="1:12" ht="30" hidden="1" customHeight="1" x14ac:dyDescent="0.25">
      <c r="A390" s="10" t="s">
        <v>132</v>
      </c>
      <c r="B390" s="11" t="s">
        <v>133</v>
      </c>
      <c r="C390" s="11" t="s">
        <v>134</v>
      </c>
      <c r="D390" s="12" t="s">
        <v>140</v>
      </c>
      <c r="E390" s="11" t="str">
        <f>IF(D390="Random","RND",IF(LEN(D390)&gt;15,"Укоротить",IF(D390="Сим-карты","SIM",D390)))</f>
        <v>622150260068</v>
      </c>
      <c r="F390" s="11" t="s">
        <v>141</v>
      </c>
      <c r="G390" s="11" t="s">
        <v>48</v>
      </c>
      <c r="H390" s="12"/>
      <c r="I390" s="12" t="s">
        <v>107</v>
      </c>
      <c r="J390" s="11"/>
      <c r="K390" s="13" t="str">
        <f t="shared" si="33"/>
        <v>Индонезия/ИТМ/Trada/622150260068@</v>
      </c>
      <c r="L390" s="11"/>
    </row>
    <row r="391" spans="1:12" ht="30" hidden="1" customHeight="1" x14ac:dyDescent="0.25">
      <c r="A391" s="10" t="s">
        <v>132</v>
      </c>
      <c r="B391" s="11" t="s">
        <v>133</v>
      </c>
      <c r="C391" s="11" t="s">
        <v>134</v>
      </c>
      <c r="D391" s="12" t="s">
        <v>139</v>
      </c>
      <c r="E391" s="11" t="s">
        <v>82</v>
      </c>
      <c r="F391" s="11" t="s">
        <v>136</v>
      </c>
      <c r="G391" s="11" t="s">
        <v>48</v>
      </c>
      <c r="H391" s="12"/>
      <c r="I391" s="12"/>
      <c r="J391" s="11"/>
      <c r="K391" s="13" t="str">
        <f t="shared" si="33"/>
        <v>Индонезия/Trada/Pool_B@</v>
      </c>
      <c r="L391" s="11"/>
    </row>
    <row r="392" spans="1:12" ht="30" hidden="1" customHeight="1" x14ac:dyDescent="0.25">
      <c r="A392" s="10" t="s">
        <v>132</v>
      </c>
      <c r="B392" s="11" t="s">
        <v>133</v>
      </c>
      <c r="C392" s="11" t="s">
        <v>8</v>
      </c>
      <c r="D392" s="12" t="s">
        <v>45</v>
      </c>
      <c r="E392" s="11" t="str">
        <f t="shared" ref="E392:E403" si="34">IF(D392="Random","RND",IF(LEN(D392)&gt;15,"Укоротить",IF(D392="Сим-карты","SIM",D392)))</f>
        <v>RND</v>
      </c>
      <c r="F392" s="11" t="s">
        <v>51</v>
      </c>
      <c r="G392" s="11" t="s">
        <v>46</v>
      </c>
      <c r="H392" s="12"/>
      <c r="I392" s="12"/>
      <c r="J392" s="11" t="s">
        <v>88</v>
      </c>
      <c r="K392" s="13" t="str">
        <f t="shared" si="33"/>
        <v>Индонезия/Zorra/RND@</v>
      </c>
      <c r="L392" s="11"/>
    </row>
    <row r="393" spans="1:12" ht="30" hidden="1" customHeight="1" x14ac:dyDescent="0.25">
      <c r="A393" s="10" t="s">
        <v>24</v>
      </c>
      <c r="B393" s="11" t="s">
        <v>188</v>
      </c>
      <c r="C393" s="11" t="s">
        <v>9</v>
      </c>
      <c r="D393" s="12" t="s">
        <v>238</v>
      </c>
      <c r="E393" s="11" t="str">
        <f t="shared" si="34"/>
        <v>442039546475</v>
      </c>
      <c r="F393" s="11" t="s">
        <v>241</v>
      </c>
      <c r="G393" s="11" t="s">
        <v>48</v>
      </c>
      <c r="H393" s="12"/>
      <c r="I393" s="12" t="s">
        <v>244</v>
      </c>
      <c r="J393" s="11"/>
      <c r="K393" s="13" t="str">
        <f t="shared" si="33"/>
        <v>Италия/Amazon/Miatel/442039546475@</v>
      </c>
      <c r="L393" s="11" t="s">
        <v>252</v>
      </c>
    </row>
    <row r="394" spans="1:12" ht="30" hidden="1" customHeight="1" x14ac:dyDescent="0.25">
      <c r="A394" s="10" t="s">
        <v>24</v>
      </c>
      <c r="B394" s="11" t="s">
        <v>188</v>
      </c>
      <c r="C394" s="11" t="s">
        <v>9</v>
      </c>
      <c r="D394" s="12" t="s">
        <v>239</v>
      </c>
      <c r="E394" s="11" t="str">
        <f t="shared" si="34"/>
        <v>442039546485</v>
      </c>
      <c r="F394" s="11" t="s">
        <v>242</v>
      </c>
      <c r="G394" s="11" t="s">
        <v>48</v>
      </c>
      <c r="H394" s="12"/>
      <c r="I394" s="12" t="s">
        <v>244</v>
      </c>
      <c r="J394" s="11"/>
      <c r="K394" s="13" t="str">
        <f t="shared" si="33"/>
        <v>Италия/Amazon/Miatel/442039546485@</v>
      </c>
      <c r="L394" s="11" t="s">
        <v>252</v>
      </c>
    </row>
    <row r="395" spans="1:12" ht="30" hidden="1" customHeight="1" x14ac:dyDescent="0.25">
      <c r="A395" s="10" t="s">
        <v>24</v>
      </c>
      <c r="B395" s="11" t="s">
        <v>188</v>
      </c>
      <c r="C395" s="11" t="s">
        <v>9</v>
      </c>
      <c r="D395" s="12" t="s">
        <v>240</v>
      </c>
      <c r="E395" s="11" t="str">
        <f t="shared" si="34"/>
        <v>442039546495</v>
      </c>
      <c r="F395" s="11" t="s">
        <v>243</v>
      </c>
      <c r="G395" s="11" t="s">
        <v>48</v>
      </c>
      <c r="H395" s="12"/>
      <c r="I395" s="12" t="s">
        <v>244</v>
      </c>
      <c r="J395" s="11"/>
      <c r="K395" s="13" t="str">
        <f t="shared" si="33"/>
        <v>Италия/Amazon/Miatel/442039546495@</v>
      </c>
      <c r="L395" s="11" t="s">
        <v>252</v>
      </c>
    </row>
    <row r="396" spans="1:12" ht="30" hidden="1" customHeight="1" x14ac:dyDescent="0.25">
      <c r="A396" s="10" t="s">
        <v>25</v>
      </c>
      <c r="B396" s="11" t="s">
        <v>120</v>
      </c>
      <c r="C396" s="11" t="s">
        <v>9</v>
      </c>
      <c r="D396" s="12" t="s">
        <v>45</v>
      </c>
      <c r="E396" s="11" t="str">
        <f t="shared" si="34"/>
        <v>RND</v>
      </c>
      <c r="F396" s="11" t="s">
        <v>51</v>
      </c>
      <c r="G396" s="11" t="s">
        <v>46</v>
      </c>
      <c r="H396" s="12"/>
      <c r="I396" s="12"/>
      <c r="J396" s="11" t="s">
        <v>88</v>
      </c>
      <c r="K396" s="13" t="str">
        <f t="shared" si="33"/>
        <v>Кипр/Miatel/RND@</v>
      </c>
      <c r="L396" s="4"/>
    </row>
    <row r="397" spans="1:12" ht="30" hidden="1" customHeight="1" x14ac:dyDescent="0.25">
      <c r="A397" s="10" t="s">
        <v>26</v>
      </c>
      <c r="B397" s="11" t="s">
        <v>122</v>
      </c>
      <c r="C397" s="11" t="s">
        <v>94</v>
      </c>
      <c r="D397" s="12" t="s">
        <v>45</v>
      </c>
      <c r="E397" s="11" t="str">
        <f t="shared" si="34"/>
        <v>RND</v>
      </c>
      <c r="F397" s="11" t="s">
        <v>51</v>
      </c>
      <c r="G397" s="11" t="s">
        <v>46</v>
      </c>
      <c r="H397" s="12"/>
      <c r="I397" s="12"/>
      <c r="J397" s="11" t="s">
        <v>88</v>
      </c>
      <c r="K397" s="13" t="str">
        <f t="shared" si="33"/>
        <v>Колумбия/Voxbird/RND@</v>
      </c>
      <c r="L397" s="11"/>
    </row>
    <row r="398" spans="1:12" ht="30" hidden="1" customHeight="1" x14ac:dyDescent="0.25">
      <c r="A398" s="10" t="s">
        <v>27</v>
      </c>
      <c r="B398" s="11" t="s">
        <v>120</v>
      </c>
      <c r="C398" s="11" t="s">
        <v>95</v>
      </c>
      <c r="D398" s="12" t="s">
        <v>45</v>
      </c>
      <c r="E398" s="11" t="str">
        <f t="shared" si="34"/>
        <v>RND</v>
      </c>
      <c r="F398" s="11" t="s">
        <v>51</v>
      </c>
      <c r="G398" s="11" t="s">
        <v>46</v>
      </c>
      <c r="H398" s="12" t="s">
        <v>96</v>
      </c>
      <c r="I398" s="12"/>
      <c r="J398" s="11" t="s">
        <v>88</v>
      </c>
      <c r="K398" s="13" t="str">
        <f t="shared" si="33"/>
        <v>Косово/Voippro/RND/00001pfx@</v>
      </c>
      <c r="L398" s="11"/>
    </row>
    <row r="399" spans="1:12" ht="30" hidden="1" customHeight="1" x14ac:dyDescent="0.25">
      <c r="A399" s="10" t="s">
        <v>27</v>
      </c>
      <c r="B399" s="11" t="s">
        <v>120</v>
      </c>
      <c r="C399" s="11" t="s">
        <v>95</v>
      </c>
      <c r="D399" s="12" t="s">
        <v>45</v>
      </c>
      <c r="E399" s="11" t="str">
        <f t="shared" si="34"/>
        <v>RND</v>
      </c>
      <c r="F399" s="11" t="s">
        <v>51</v>
      </c>
      <c r="G399" s="11" t="s">
        <v>46</v>
      </c>
      <c r="H399" s="12" t="s">
        <v>97</v>
      </c>
      <c r="I399" s="12"/>
      <c r="J399" s="11" t="s">
        <v>88</v>
      </c>
      <c r="K399" s="13" t="str">
        <f t="shared" si="33"/>
        <v>Косово/Voippro/RND/00000pfx@</v>
      </c>
      <c r="L399" s="11"/>
    </row>
    <row r="400" spans="1:12" ht="30" hidden="1" customHeight="1" x14ac:dyDescent="0.25">
      <c r="A400" s="10" t="s">
        <v>27</v>
      </c>
      <c r="B400" s="11" t="s">
        <v>120</v>
      </c>
      <c r="C400" s="11" t="s">
        <v>95</v>
      </c>
      <c r="D400" s="12" t="s">
        <v>45</v>
      </c>
      <c r="E400" s="11" t="str">
        <f t="shared" si="34"/>
        <v>RND</v>
      </c>
      <c r="F400" s="11" t="s">
        <v>51</v>
      </c>
      <c r="G400" s="11" t="s">
        <v>46</v>
      </c>
      <c r="H400" s="12" t="s">
        <v>98</v>
      </c>
      <c r="I400" s="12"/>
      <c r="J400" s="11" t="s">
        <v>88</v>
      </c>
      <c r="K400" s="13" t="str">
        <f t="shared" si="33"/>
        <v>Косово/Voippro/RND/00pfx@</v>
      </c>
      <c r="L400" s="11"/>
    </row>
    <row r="401" spans="1:12" ht="30" hidden="1" customHeight="1" x14ac:dyDescent="0.25">
      <c r="A401" s="10" t="s">
        <v>27</v>
      </c>
      <c r="B401" s="11" t="s">
        <v>120</v>
      </c>
      <c r="C401" s="11" t="s">
        <v>11</v>
      </c>
      <c r="D401" s="12" t="s">
        <v>50</v>
      </c>
      <c r="E401" s="11" t="str">
        <f t="shared" si="34"/>
        <v>SIM</v>
      </c>
      <c r="F401" s="11"/>
      <c r="G401" s="11"/>
      <c r="H401" s="12"/>
      <c r="I401" s="12"/>
      <c r="J401" s="11" t="s">
        <v>162</v>
      </c>
      <c r="K401" s="13" t="str">
        <f t="shared" si="33"/>
        <v>Косово/Шлюз/SIM@</v>
      </c>
      <c r="L401" s="11"/>
    </row>
    <row r="402" spans="1:12" ht="30" hidden="1" customHeight="1" x14ac:dyDescent="0.25">
      <c r="A402" s="10" t="s">
        <v>28</v>
      </c>
      <c r="B402" s="11" t="s">
        <v>120</v>
      </c>
      <c r="C402" s="11" t="s">
        <v>9</v>
      </c>
      <c r="D402" s="12" t="s">
        <v>45</v>
      </c>
      <c r="E402" s="11" t="str">
        <f t="shared" si="34"/>
        <v>RND</v>
      </c>
      <c r="F402" s="11" t="s">
        <v>51</v>
      </c>
      <c r="G402" s="11" t="s">
        <v>46</v>
      </c>
      <c r="H402" s="12"/>
      <c r="I402" s="12"/>
      <c r="J402" s="11" t="s">
        <v>88</v>
      </c>
      <c r="K402" s="13" t="str">
        <f t="shared" si="33"/>
        <v>Латвия/Miatel/RND@</v>
      </c>
      <c r="L402" s="11"/>
    </row>
    <row r="403" spans="1:12" ht="30" hidden="1" customHeight="1" x14ac:dyDescent="0.25">
      <c r="A403" s="10" t="s">
        <v>28</v>
      </c>
      <c r="B403" s="11" t="s">
        <v>120</v>
      </c>
      <c r="C403" s="11" t="s">
        <v>7</v>
      </c>
      <c r="D403" s="12" t="s">
        <v>104</v>
      </c>
      <c r="E403" s="11" t="str">
        <f t="shared" si="34"/>
        <v>37167651499</v>
      </c>
      <c r="F403" s="11" t="s">
        <v>102</v>
      </c>
      <c r="G403" s="11" t="s">
        <v>46</v>
      </c>
      <c r="H403" s="12" t="s">
        <v>12</v>
      </c>
      <c r="I403" s="12"/>
      <c r="J403" s="11" t="s">
        <v>116</v>
      </c>
      <c r="K403" s="13" t="str">
        <f t="shared" si="33"/>
        <v>Латвия/Sancom/37167651499/0789pfx@</v>
      </c>
      <c r="L403" s="11" t="s">
        <v>117</v>
      </c>
    </row>
    <row r="404" spans="1:12" ht="30" hidden="1" customHeight="1" x14ac:dyDescent="0.25">
      <c r="A404" s="10" t="s">
        <v>29</v>
      </c>
      <c r="B404" s="11" t="s">
        <v>120</v>
      </c>
      <c r="C404" s="11" t="s">
        <v>9</v>
      </c>
      <c r="D404" s="12" t="s">
        <v>144</v>
      </c>
      <c r="E404" s="11" t="s">
        <v>82</v>
      </c>
      <c r="F404" s="11" t="s">
        <v>143</v>
      </c>
      <c r="G404" s="11" t="s">
        <v>46</v>
      </c>
      <c r="H404" s="12"/>
      <c r="I404" s="12" t="s">
        <v>107</v>
      </c>
      <c r="J404" s="11" t="s">
        <v>156</v>
      </c>
      <c r="K404" s="13" t="str">
        <f t="shared" si="33"/>
        <v>Литва/ИТМ/Miatel/Pool_B@</v>
      </c>
      <c r="L404" s="11" t="s">
        <v>155</v>
      </c>
    </row>
    <row r="405" spans="1:12" ht="30" hidden="1" customHeight="1" x14ac:dyDescent="0.25">
      <c r="A405" s="10" t="s">
        <v>30</v>
      </c>
      <c r="B405" s="11" t="s">
        <v>120</v>
      </c>
      <c r="C405" s="11" t="s">
        <v>194</v>
      </c>
      <c r="D405" s="12" t="s">
        <v>50</v>
      </c>
      <c r="E405" s="11" t="str">
        <f>IF(D405="Random","RND",IF(LEN(D405)&gt;15,"Укоротить",IF(D405="Сим-карты","SIM",D405)))</f>
        <v>SIM</v>
      </c>
      <c r="F405" s="11"/>
      <c r="G405" s="11" t="s">
        <v>46</v>
      </c>
      <c r="H405" s="12"/>
      <c r="I405" s="12"/>
      <c r="J405" s="11" t="s">
        <v>196</v>
      </c>
      <c r="K405" s="13" t="str">
        <f t="shared" si="33"/>
        <v>Македония/Шлюз_GoIP/SIM@</v>
      </c>
      <c r="L405" s="11"/>
    </row>
    <row r="406" spans="1:12" ht="30" hidden="1" customHeight="1" x14ac:dyDescent="0.25">
      <c r="A406" s="10" t="s">
        <v>35</v>
      </c>
      <c r="B406" s="11" t="s">
        <v>120</v>
      </c>
      <c r="C406" s="11" t="s">
        <v>9</v>
      </c>
      <c r="D406" s="12" t="s">
        <v>118</v>
      </c>
      <c r="E406" s="11" t="str">
        <f>IF(D406="Random","RND",IF(LEN(D406)&gt;15,"Укоротить",IF(D406="Сим-карты","SIM",D406)))</f>
        <v>79310097495</v>
      </c>
      <c r="F406" s="11" t="s">
        <v>119</v>
      </c>
      <c r="G406" s="11" t="s">
        <v>48</v>
      </c>
      <c r="H406" s="12"/>
      <c r="I406" s="12" t="s">
        <v>107</v>
      </c>
      <c r="J406" s="11"/>
      <c r="K406" s="13" t="str">
        <f t="shared" si="33"/>
        <v>Россия/ИТМ/Miatel/79310097495@</v>
      </c>
      <c r="L406" s="11" t="s">
        <v>193</v>
      </c>
    </row>
    <row r="407" spans="1:12" ht="30" hidden="1" customHeight="1" x14ac:dyDescent="0.25">
      <c r="A407" s="10" t="s">
        <v>35</v>
      </c>
      <c r="B407" s="11" t="s">
        <v>120</v>
      </c>
      <c r="C407" s="11" t="s">
        <v>9</v>
      </c>
      <c r="D407" s="12" t="s">
        <v>165</v>
      </c>
      <c r="E407" s="11" t="s">
        <v>115</v>
      </c>
      <c r="F407" s="11" t="s">
        <v>114</v>
      </c>
      <c r="G407" s="11" t="s">
        <v>48</v>
      </c>
      <c r="H407" s="12"/>
      <c r="I407" s="12" t="s">
        <v>109</v>
      </c>
      <c r="J407" s="11"/>
      <c r="K407" s="13" t="str">
        <f t="shared" si="33"/>
        <v>Россия/Дожим/Miatel/Pool_D@</v>
      </c>
      <c r="L407" s="11" t="s">
        <v>193</v>
      </c>
    </row>
    <row r="408" spans="1:12" ht="30" hidden="1" customHeight="1" x14ac:dyDescent="0.25">
      <c r="A408" s="10" t="s">
        <v>35</v>
      </c>
      <c r="B408" s="11" t="s">
        <v>120</v>
      </c>
      <c r="C408" s="11" t="s">
        <v>7</v>
      </c>
      <c r="D408" s="12" t="s">
        <v>118</v>
      </c>
      <c r="E408" s="11" t="str">
        <f>IF(D408="Random","RND",IF(LEN(D408)&gt;15,"Укоротить",IF(D408="Сим-карты","SIM",D408)))</f>
        <v>79310097495</v>
      </c>
      <c r="F408" s="11" t="s">
        <v>119</v>
      </c>
      <c r="G408" s="11" t="s">
        <v>48</v>
      </c>
      <c r="H408" s="12" t="s">
        <v>14</v>
      </c>
      <c r="I408" s="12" t="s">
        <v>107</v>
      </c>
      <c r="J408" s="11"/>
      <c r="K408" s="13" t="str">
        <f t="shared" si="33"/>
        <v>Россия/ИТМ/Sancom/79310097495/0793pfx@</v>
      </c>
      <c r="L408" s="11" t="s">
        <v>193</v>
      </c>
    </row>
    <row r="409" spans="1:12" ht="30" hidden="1" customHeight="1" x14ac:dyDescent="0.25">
      <c r="A409" s="10" t="s">
        <v>35</v>
      </c>
      <c r="B409" s="11" t="s">
        <v>120</v>
      </c>
      <c r="C409" s="11" t="s">
        <v>77</v>
      </c>
      <c r="D409" s="12" t="s">
        <v>78</v>
      </c>
      <c r="E409" s="11" t="s">
        <v>82</v>
      </c>
      <c r="F409" s="11" t="s">
        <v>79</v>
      </c>
      <c r="G409" s="11" t="s">
        <v>48</v>
      </c>
      <c r="H409" s="12"/>
      <c r="I409" s="12"/>
      <c r="J409" s="11"/>
      <c r="K409" s="13" t="str">
        <f t="shared" si="33"/>
        <v>Россия/VoxBird/Pool_B@</v>
      </c>
      <c r="L409" s="11" t="s">
        <v>193</v>
      </c>
    </row>
    <row r="410" spans="1:12" ht="30" hidden="1" customHeight="1" x14ac:dyDescent="0.25">
      <c r="A410" s="10" t="s">
        <v>36</v>
      </c>
      <c r="B410" s="11" t="s">
        <v>120</v>
      </c>
      <c r="C410" s="11" t="s">
        <v>7</v>
      </c>
      <c r="D410" s="12" t="s">
        <v>259</v>
      </c>
      <c r="E410" s="11" t="str">
        <f t="shared" ref="E410:E446" si="35">IF(D410="Random","RND",IF(LEN(D410)&gt;15,"Укоротить",IF(D410="Сим-карты","SIM",D410)))</f>
        <v>40351229042</v>
      </c>
      <c r="F410" s="11" t="s">
        <v>261</v>
      </c>
      <c r="G410" s="11" t="s">
        <v>48</v>
      </c>
      <c r="H410" s="12" t="s">
        <v>12</v>
      </c>
      <c r="I410" s="12"/>
      <c r="J410" s="11"/>
      <c r="K410" s="13" t="str">
        <f t="shared" si="33"/>
        <v>Румыния/Sancom/40351229042/0789pfx@</v>
      </c>
      <c r="L410" s="11" t="s">
        <v>268</v>
      </c>
    </row>
    <row r="411" spans="1:12" ht="30" hidden="1" customHeight="1" x14ac:dyDescent="0.25">
      <c r="A411" s="10" t="s">
        <v>36</v>
      </c>
      <c r="B411" s="11" t="s">
        <v>120</v>
      </c>
      <c r="C411" s="11" t="s">
        <v>7</v>
      </c>
      <c r="D411" s="12" t="s">
        <v>259</v>
      </c>
      <c r="E411" s="11" t="str">
        <f t="shared" si="35"/>
        <v>40351229042</v>
      </c>
      <c r="F411" s="11" t="s">
        <v>261</v>
      </c>
      <c r="G411" s="11" t="s">
        <v>48</v>
      </c>
      <c r="H411" s="12" t="s">
        <v>16</v>
      </c>
      <c r="I411" s="12"/>
      <c r="J411" s="11"/>
      <c r="K411" s="13" t="str">
        <f t="shared" si="33"/>
        <v>Румыния/Sancom/40351229042/0827pfx@</v>
      </c>
      <c r="L411" s="11" t="s">
        <v>268</v>
      </c>
    </row>
    <row r="412" spans="1:12" ht="30" hidden="1" customHeight="1" x14ac:dyDescent="0.25">
      <c r="A412" s="10" t="s">
        <v>36</v>
      </c>
      <c r="B412" s="11" t="s">
        <v>120</v>
      </c>
      <c r="C412" s="11" t="s">
        <v>9</v>
      </c>
      <c r="D412" s="12" t="s">
        <v>259</v>
      </c>
      <c r="E412" s="11" t="str">
        <f t="shared" si="35"/>
        <v>40351229042</v>
      </c>
      <c r="F412" s="11" t="s">
        <v>261</v>
      </c>
      <c r="G412" s="11" t="s">
        <v>48</v>
      </c>
      <c r="H412" s="12"/>
      <c r="I412" s="12"/>
      <c r="J412" s="11"/>
      <c r="K412" s="13" t="str">
        <f t="shared" si="33"/>
        <v>Румыния/Miatel/40351229042@</v>
      </c>
      <c r="L412" s="11" t="s">
        <v>268</v>
      </c>
    </row>
    <row r="413" spans="1:12" ht="30" hidden="1" customHeight="1" x14ac:dyDescent="0.25">
      <c r="A413" s="10" t="s">
        <v>36</v>
      </c>
      <c r="B413" s="11" t="s">
        <v>120</v>
      </c>
      <c r="C413" s="11" t="s">
        <v>8</v>
      </c>
      <c r="D413" s="12" t="s">
        <v>259</v>
      </c>
      <c r="E413" s="11" t="str">
        <f t="shared" si="35"/>
        <v>40351229042</v>
      </c>
      <c r="F413" s="11" t="s">
        <v>261</v>
      </c>
      <c r="G413" s="11" t="s">
        <v>48</v>
      </c>
      <c r="H413" s="12"/>
      <c r="I413" s="12"/>
      <c r="J413" s="11"/>
      <c r="K413" s="13" t="str">
        <f t="shared" si="33"/>
        <v>Румыния/Zorra/40351229042@</v>
      </c>
      <c r="L413" s="11" t="s">
        <v>268</v>
      </c>
    </row>
    <row r="414" spans="1:12" ht="30" hidden="1" customHeight="1" x14ac:dyDescent="0.25">
      <c r="A414" s="10" t="s">
        <v>36</v>
      </c>
      <c r="B414" s="11" t="s">
        <v>120</v>
      </c>
      <c r="C414" s="11" t="s">
        <v>7</v>
      </c>
      <c r="D414" s="12" t="s">
        <v>260</v>
      </c>
      <c r="E414" s="11" t="str">
        <f t="shared" si="35"/>
        <v>40351229046</v>
      </c>
      <c r="F414" s="11" t="s">
        <v>262</v>
      </c>
      <c r="G414" s="11" t="s">
        <v>48</v>
      </c>
      <c r="H414" s="12" t="s">
        <v>12</v>
      </c>
      <c r="I414" s="12"/>
      <c r="J414" s="11"/>
      <c r="K414" s="13" t="str">
        <f t="shared" si="33"/>
        <v>Румыния/Sancom/40351229046/0789pfx@</v>
      </c>
      <c r="L414" s="11" t="s">
        <v>268</v>
      </c>
    </row>
    <row r="415" spans="1:12" ht="30" hidden="1" customHeight="1" x14ac:dyDescent="0.25">
      <c r="A415" s="10" t="s">
        <v>36</v>
      </c>
      <c r="B415" s="11" t="s">
        <v>120</v>
      </c>
      <c r="C415" s="11" t="s">
        <v>7</v>
      </c>
      <c r="D415" s="12" t="s">
        <v>260</v>
      </c>
      <c r="E415" s="11" t="str">
        <f t="shared" si="35"/>
        <v>40351229046</v>
      </c>
      <c r="F415" s="11" t="s">
        <v>262</v>
      </c>
      <c r="G415" s="11" t="s">
        <v>48</v>
      </c>
      <c r="H415" s="12" t="s">
        <v>16</v>
      </c>
      <c r="I415" s="12"/>
      <c r="J415" s="11"/>
      <c r="K415" s="13" t="str">
        <f t="shared" si="33"/>
        <v>Румыния/Sancom/40351229046/0827pfx@</v>
      </c>
      <c r="L415" s="11" t="s">
        <v>268</v>
      </c>
    </row>
    <row r="416" spans="1:12" ht="30" hidden="1" customHeight="1" x14ac:dyDescent="0.25">
      <c r="A416" s="10" t="s">
        <v>36</v>
      </c>
      <c r="B416" s="11" t="s">
        <v>120</v>
      </c>
      <c r="C416" s="11" t="s">
        <v>9</v>
      </c>
      <c r="D416" s="12" t="s">
        <v>260</v>
      </c>
      <c r="E416" s="11" t="str">
        <f t="shared" si="35"/>
        <v>40351229046</v>
      </c>
      <c r="F416" s="11" t="s">
        <v>262</v>
      </c>
      <c r="G416" s="11" t="s">
        <v>48</v>
      </c>
      <c r="H416" s="12"/>
      <c r="I416" s="12"/>
      <c r="J416" s="11"/>
      <c r="K416" s="13" t="str">
        <f t="shared" si="33"/>
        <v>Румыния/Miatel/40351229046@</v>
      </c>
      <c r="L416" s="11" t="s">
        <v>268</v>
      </c>
    </row>
    <row r="417" spans="1:12" ht="30" hidden="1" customHeight="1" x14ac:dyDescent="0.25">
      <c r="A417" s="10" t="s">
        <v>36</v>
      </c>
      <c r="B417" s="11" t="s">
        <v>120</v>
      </c>
      <c r="C417" s="11" t="s">
        <v>8</v>
      </c>
      <c r="D417" s="12" t="s">
        <v>260</v>
      </c>
      <c r="E417" s="11" t="str">
        <f t="shared" si="35"/>
        <v>40351229046</v>
      </c>
      <c r="F417" s="11" t="s">
        <v>262</v>
      </c>
      <c r="G417" s="11" t="s">
        <v>48</v>
      </c>
      <c r="H417" s="12"/>
      <c r="I417" s="12"/>
      <c r="J417" s="11"/>
      <c r="K417" s="13" t="str">
        <f t="shared" si="33"/>
        <v>Румыния/Zorra/40351229046@</v>
      </c>
      <c r="L417" s="11" t="s">
        <v>268</v>
      </c>
    </row>
    <row r="418" spans="1:12" ht="30" hidden="1" customHeight="1" x14ac:dyDescent="0.25">
      <c r="A418" s="10" t="s">
        <v>36</v>
      </c>
      <c r="B418" s="11" t="s">
        <v>120</v>
      </c>
      <c r="C418" s="11" t="s">
        <v>9</v>
      </c>
      <c r="D418" s="12">
        <v>40312296405</v>
      </c>
      <c r="E418" s="11">
        <f t="shared" si="35"/>
        <v>40312296405</v>
      </c>
      <c r="F418" s="11" t="s">
        <v>110</v>
      </c>
      <c r="G418" s="11" t="s">
        <v>48</v>
      </c>
      <c r="H418" s="12"/>
      <c r="I418" s="12" t="s">
        <v>109</v>
      </c>
      <c r="J418" s="11" t="s">
        <v>112</v>
      </c>
      <c r="K418" s="13" t="str">
        <f t="shared" si="33"/>
        <v>Румыния/Дожим/Miatel/40312296405@</v>
      </c>
      <c r="L418" s="13"/>
    </row>
    <row r="419" spans="1:12" ht="30" hidden="1" customHeight="1" x14ac:dyDescent="0.25">
      <c r="A419" s="10" t="s">
        <v>36</v>
      </c>
      <c r="B419" s="11" t="s">
        <v>120</v>
      </c>
      <c r="C419" s="11" t="s">
        <v>9</v>
      </c>
      <c r="D419" s="12" t="s">
        <v>149</v>
      </c>
      <c r="E419" s="11" t="str">
        <f t="shared" si="35"/>
        <v>40312295275</v>
      </c>
      <c r="F419" s="11" t="s">
        <v>151</v>
      </c>
      <c r="G419" s="11" t="s">
        <v>48</v>
      </c>
      <c r="H419" s="12"/>
      <c r="I419" s="12"/>
      <c r="J419" s="11" t="s">
        <v>150</v>
      </c>
      <c r="K419" s="13" t="str">
        <f t="shared" si="33"/>
        <v>Румыния/Miatel/40312295275@</v>
      </c>
      <c r="L419" s="13"/>
    </row>
    <row r="420" spans="1:12" ht="30" hidden="1" customHeight="1" x14ac:dyDescent="0.25">
      <c r="A420" s="10" t="s">
        <v>36</v>
      </c>
      <c r="B420" s="11" t="s">
        <v>120</v>
      </c>
      <c r="C420" s="11" t="s">
        <v>9</v>
      </c>
      <c r="D420" s="12" t="s">
        <v>84</v>
      </c>
      <c r="E420" s="11" t="str">
        <f t="shared" si="35"/>
        <v>40312295628</v>
      </c>
      <c r="F420" s="11" t="s">
        <v>87</v>
      </c>
      <c r="G420" s="11" t="s">
        <v>48</v>
      </c>
      <c r="H420" s="12"/>
      <c r="I420" s="12"/>
      <c r="J420" s="11"/>
      <c r="K420" s="13" t="str">
        <f t="shared" si="33"/>
        <v>Румыния/Miatel/40312295628@</v>
      </c>
      <c r="L420" s="13"/>
    </row>
    <row r="421" spans="1:12" ht="30" hidden="1" customHeight="1" x14ac:dyDescent="0.25">
      <c r="A421" s="10" t="s">
        <v>36</v>
      </c>
      <c r="B421" s="11" t="s">
        <v>120</v>
      </c>
      <c r="C421" s="11" t="s">
        <v>9</v>
      </c>
      <c r="D421" s="12" t="s">
        <v>85</v>
      </c>
      <c r="E421" s="11" t="str">
        <f t="shared" si="35"/>
        <v>40312295641</v>
      </c>
      <c r="F421" s="11" t="s">
        <v>86</v>
      </c>
      <c r="G421" s="11" t="s">
        <v>48</v>
      </c>
      <c r="H421" s="12"/>
      <c r="I421" s="12" t="s">
        <v>107</v>
      </c>
      <c r="J421" s="11" t="s">
        <v>111</v>
      </c>
      <c r="K421" s="13" t="str">
        <f t="shared" si="33"/>
        <v>Румыния/ИТМ/Miatel/40312295641@</v>
      </c>
      <c r="L421" s="13"/>
    </row>
    <row r="422" spans="1:12" ht="30" hidden="1" customHeight="1" x14ac:dyDescent="0.25">
      <c r="A422" s="10" t="s">
        <v>36</v>
      </c>
      <c r="B422" s="11" t="s">
        <v>120</v>
      </c>
      <c r="C422" s="11" t="s">
        <v>9</v>
      </c>
      <c r="D422" s="12" t="s">
        <v>130</v>
      </c>
      <c r="E422" s="11" t="str">
        <f t="shared" si="35"/>
        <v>40312296403</v>
      </c>
      <c r="F422" s="11" t="s">
        <v>131</v>
      </c>
      <c r="G422" s="11" t="s">
        <v>48</v>
      </c>
      <c r="H422" s="12"/>
      <c r="I422" s="12"/>
      <c r="J422" s="11" t="s">
        <v>148</v>
      </c>
      <c r="K422" s="13" t="str">
        <f t="shared" si="33"/>
        <v>Румыния/Miatel/40312296403@</v>
      </c>
      <c r="L422" s="13"/>
    </row>
    <row r="423" spans="1:12" ht="30" hidden="1" customHeight="1" x14ac:dyDescent="0.25">
      <c r="A423" s="10" t="s">
        <v>36</v>
      </c>
      <c r="B423" s="11" t="s">
        <v>120</v>
      </c>
      <c r="C423" s="11" t="s">
        <v>9</v>
      </c>
      <c r="D423" s="12" t="s">
        <v>183</v>
      </c>
      <c r="E423" s="11" t="str">
        <f t="shared" si="35"/>
        <v>40364228128</v>
      </c>
      <c r="F423" s="11" t="s">
        <v>186</v>
      </c>
      <c r="G423" s="11" t="s">
        <v>48</v>
      </c>
      <c r="H423" s="12"/>
      <c r="I423" s="12"/>
      <c r="J423" s="11"/>
      <c r="K423" s="13" t="str">
        <f t="shared" si="33"/>
        <v>Румыния/Miatel/40364228128@</v>
      </c>
      <c r="L423" s="11" t="s">
        <v>232</v>
      </c>
    </row>
    <row r="424" spans="1:12" ht="30" hidden="1" customHeight="1" x14ac:dyDescent="0.25">
      <c r="A424" s="10" t="s">
        <v>36</v>
      </c>
      <c r="B424" s="11" t="s">
        <v>120</v>
      </c>
      <c r="C424" s="11" t="s">
        <v>7</v>
      </c>
      <c r="D424" s="12">
        <v>40312296405</v>
      </c>
      <c r="E424" s="11">
        <f t="shared" si="35"/>
        <v>40312296405</v>
      </c>
      <c r="F424" s="11" t="s">
        <v>110</v>
      </c>
      <c r="G424" s="11" t="s">
        <v>48</v>
      </c>
      <c r="H424" s="12" t="s">
        <v>12</v>
      </c>
      <c r="I424" s="12" t="s">
        <v>109</v>
      </c>
      <c r="J424" s="11" t="s">
        <v>112</v>
      </c>
      <c r="K424" s="13" t="str">
        <f t="shared" si="33"/>
        <v>Румыния/Дожим/Sancom/40312296405/0789pfx@</v>
      </c>
      <c r="L424" s="13"/>
    </row>
    <row r="425" spans="1:12" ht="30" hidden="1" customHeight="1" x14ac:dyDescent="0.25">
      <c r="A425" s="10" t="s">
        <v>36</v>
      </c>
      <c r="B425" s="11" t="s">
        <v>120</v>
      </c>
      <c r="C425" s="11" t="s">
        <v>7</v>
      </c>
      <c r="D425" s="12">
        <v>40312296405</v>
      </c>
      <c r="E425" s="11">
        <f t="shared" si="35"/>
        <v>40312296405</v>
      </c>
      <c r="F425" s="11" t="s">
        <v>110</v>
      </c>
      <c r="G425" s="11" t="s">
        <v>48</v>
      </c>
      <c r="H425" s="12" t="s">
        <v>16</v>
      </c>
      <c r="I425" s="12" t="s">
        <v>109</v>
      </c>
      <c r="J425" s="11" t="s">
        <v>112</v>
      </c>
      <c r="K425" s="13" t="str">
        <f t="shared" si="33"/>
        <v>Румыния/Дожим/Sancom/40312296405/0827pfx@</v>
      </c>
      <c r="L425" s="13"/>
    </row>
    <row r="426" spans="1:12" ht="30" hidden="1" customHeight="1" x14ac:dyDescent="0.25">
      <c r="A426" s="10" t="s">
        <v>36</v>
      </c>
      <c r="B426" s="11" t="s">
        <v>120</v>
      </c>
      <c r="C426" s="11" t="s">
        <v>7</v>
      </c>
      <c r="D426" s="12" t="s">
        <v>149</v>
      </c>
      <c r="E426" s="11" t="str">
        <f t="shared" si="35"/>
        <v>40312295275</v>
      </c>
      <c r="F426" s="11" t="s">
        <v>151</v>
      </c>
      <c r="G426" s="11" t="s">
        <v>48</v>
      </c>
      <c r="H426" s="12" t="s">
        <v>16</v>
      </c>
      <c r="I426" s="12"/>
      <c r="J426" s="11" t="s">
        <v>150</v>
      </c>
      <c r="K426" s="13" t="str">
        <f t="shared" si="33"/>
        <v>Румыния/Sancom/40312295275/0827pfx@</v>
      </c>
      <c r="L426" s="13"/>
    </row>
    <row r="427" spans="1:12" ht="30" hidden="1" customHeight="1" x14ac:dyDescent="0.25">
      <c r="A427" s="10" t="s">
        <v>36</v>
      </c>
      <c r="B427" s="11" t="s">
        <v>120</v>
      </c>
      <c r="C427" s="11" t="s">
        <v>7</v>
      </c>
      <c r="D427" s="12" t="s">
        <v>84</v>
      </c>
      <c r="E427" s="11" t="str">
        <f t="shared" si="35"/>
        <v>40312295628</v>
      </c>
      <c r="F427" s="11" t="s">
        <v>87</v>
      </c>
      <c r="G427" s="11" t="s">
        <v>48</v>
      </c>
      <c r="H427" s="12" t="s">
        <v>12</v>
      </c>
      <c r="I427" s="12"/>
      <c r="J427" s="11"/>
      <c r="K427" s="13" t="str">
        <f t="shared" si="33"/>
        <v>Румыния/Sancom/40312295628/0789pfx@</v>
      </c>
      <c r="L427" s="13"/>
    </row>
    <row r="428" spans="1:12" ht="30" hidden="1" customHeight="1" x14ac:dyDescent="0.25">
      <c r="A428" s="10" t="s">
        <v>36</v>
      </c>
      <c r="B428" s="11" t="s">
        <v>120</v>
      </c>
      <c r="C428" s="11" t="s">
        <v>7</v>
      </c>
      <c r="D428" s="12" t="s">
        <v>84</v>
      </c>
      <c r="E428" s="11" t="str">
        <f t="shared" si="35"/>
        <v>40312295628</v>
      </c>
      <c r="F428" s="11" t="s">
        <v>87</v>
      </c>
      <c r="G428" s="11" t="s">
        <v>48</v>
      </c>
      <c r="H428" s="12" t="s">
        <v>16</v>
      </c>
      <c r="I428" s="12"/>
      <c r="J428" s="11"/>
      <c r="K428" s="13" t="str">
        <f t="shared" si="33"/>
        <v>Румыния/Sancom/40312295628/0827pfx@</v>
      </c>
      <c r="L428" s="13"/>
    </row>
    <row r="429" spans="1:12" ht="30" hidden="1" customHeight="1" x14ac:dyDescent="0.25">
      <c r="A429" s="10" t="s">
        <v>36</v>
      </c>
      <c r="B429" s="11" t="s">
        <v>120</v>
      </c>
      <c r="C429" s="11" t="s">
        <v>7</v>
      </c>
      <c r="D429" s="12" t="s">
        <v>85</v>
      </c>
      <c r="E429" s="11" t="str">
        <f t="shared" si="35"/>
        <v>40312295641</v>
      </c>
      <c r="F429" s="11" t="s">
        <v>86</v>
      </c>
      <c r="G429" s="11" t="s">
        <v>48</v>
      </c>
      <c r="H429" s="12" t="s">
        <v>12</v>
      </c>
      <c r="I429" s="12" t="s">
        <v>107</v>
      </c>
      <c r="J429" s="11" t="s">
        <v>111</v>
      </c>
      <c r="K429" s="13" t="str">
        <f t="shared" si="33"/>
        <v>Румыния/ИТМ/Sancom/40312295641/0789pfx@</v>
      </c>
      <c r="L429" s="13"/>
    </row>
    <row r="430" spans="1:12" ht="30" hidden="1" customHeight="1" x14ac:dyDescent="0.25">
      <c r="A430" s="10" t="s">
        <v>36</v>
      </c>
      <c r="B430" s="11" t="s">
        <v>120</v>
      </c>
      <c r="C430" s="11" t="s">
        <v>7</v>
      </c>
      <c r="D430" s="12" t="s">
        <v>85</v>
      </c>
      <c r="E430" s="11" t="str">
        <f t="shared" si="35"/>
        <v>40312295641</v>
      </c>
      <c r="F430" s="11" t="s">
        <v>86</v>
      </c>
      <c r="G430" s="11" t="s">
        <v>48</v>
      </c>
      <c r="H430" s="12" t="s">
        <v>16</v>
      </c>
      <c r="I430" s="12" t="s">
        <v>107</v>
      </c>
      <c r="J430" s="11" t="s">
        <v>111</v>
      </c>
      <c r="K430" s="13" t="str">
        <f t="shared" si="33"/>
        <v>Румыния/ИТМ/Sancom/40312295641/0827pfx@</v>
      </c>
      <c r="L430" s="13"/>
    </row>
    <row r="431" spans="1:12" ht="30" hidden="1" customHeight="1" x14ac:dyDescent="0.25">
      <c r="A431" s="10" t="s">
        <v>36</v>
      </c>
      <c r="B431" s="11" t="s">
        <v>120</v>
      </c>
      <c r="C431" s="11" t="s">
        <v>7</v>
      </c>
      <c r="D431" s="12" t="s">
        <v>130</v>
      </c>
      <c r="E431" s="11" t="str">
        <f t="shared" si="35"/>
        <v>40312296403</v>
      </c>
      <c r="F431" s="11" t="s">
        <v>131</v>
      </c>
      <c r="G431" s="11" t="s">
        <v>48</v>
      </c>
      <c r="H431" s="12" t="s">
        <v>12</v>
      </c>
      <c r="I431" s="12"/>
      <c r="J431" s="11" t="s">
        <v>148</v>
      </c>
      <c r="K431" s="13" t="str">
        <f t="shared" si="33"/>
        <v>Румыния/Sancom/40312296403/0789pfx@</v>
      </c>
      <c r="L431" s="13"/>
    </row>
    <row r="432" spans="1:12" ht="30" hidden="1" customHeight="1" x14ac:dyDescent="0.25">
      <c r="A432" s="10" t="s">
        <v>36</v>
      </c>
      <c r="B432" s="11" t="s">
        <v>120</v>
      </c>
      <c r="C432" s="11" t="s">
        <v>7</v>
      </c>
      <c r="D432" s="12" t="s">
        <v>130</v>
      </c>
      <c r="E432" s="11" t="str">
        <f t="shared" si="35"/>
        <v>40312296403</v>
      </c>
      <c r="F432" s="11" t="s">
        <v>131</v>
      </c>
      <c r="G432" s="11" t="s">
        <v>48</v>
      </c>
      <c r="H432" s="12" t="s">
        <v>16</v>
      </c>
      <c r="I432" s="12"/>
      <c r="J432" s="11" t="s">
        <v>148</v>
      </c>
      <c r="K432" s="13" t="str">
        <f t="shared" si="33"/>
        <v>Румыния/Sancom/40312296403/0827pfx@</v>
      </c>
      <c r="L432" s="13"/>
    </row>
    <row r="433" spans="1:12" ht="30" hidden="1" customHeight="1" x14ac:dyDescent="0.25">
      <c r="A433" s="10" t="s">
        <v>36</v>
      </c>
      <c r="B433" s="11" t="s">
        <v>120</v>
      </c>
      <c r="C433" s="11" t="s">
        <v>7</v>
      </c>
      <c r="D433" s="12" t="s">
        <v>183</v>
      </c>
      <c r="E433" s="11" t="str">
        <f t="shared" si="35"/>
        <v>40364228128</v>
      </c>
      <c r="F433" s="11" t="s">
        <v>186</v>
      </c>
      <c r="G433" s="11" t="s">
        <v>48</v>
      </c>
      <c r="H433" s="12" t="s">
        <v>12</v>
      </c>
      <c r="I433" s="12"/>
      <c r="J433" s="11"/>
      <c r="K433" s="13" t="str">
        <f t="shared" si="33"/>
        <v>Румыния/Sancom/40364228128/0789pfx@</v>
      </c>
      <c r="L433" s="11" t="s">
        <v>232</v>
      </c>
    </row>
    <row r="434" spans="1:12" ht="30" hidden="1" customHeight="1" x14ac:dyDescent="0.25">
      <c r="A434" s="10" t="s">
        <v>36</v>
      </c>
      <c r="B434" s="11" t="s">
        <v>120</v>
      </c>
      <c r="C434" s="11" t="s">
        <v>7</v>
      </c>
      <c r="D434" s="12" t="s">
        <v>183</v>
      </c>
      <c r="E434" s="11" t="str">
        <f t="shared" si="35"/>
        <v>40364228128</v>
      </c>
      <c r="F434" s="11" t="s">
        <v>186</v>
      </c>
      <c r="G434" s="11" t="s">
        <v>48</v>
      </c>
      <c r="H434" s="12" t="s">
        <v>16</v>
      </c>
      <c r="I434" s="12"/>
      <c r="J434" s="11"/>
      <c r="K434" s="13" t="str">
        <f t="shared" si="33"/>
        <v>Румыния/Sancom/40364228128/0827pfx@</v>
      </c>
      <c r="L434" s="11" t="s">
        <v>232</v>
      </c>
    </row>
    <row r="435" spans="1:12" ht="30" hidden="1" customHeight="1" x14ac:dyDescent="0.25">
      <c r="A435" s="10" t="s">
        <v>36</v>
      </c>
      <c r="B435" s="11" t="s">
        <v>120</v>
      </c>
      <c r="C435" s="11" t="s">
        <v>8</v>
      </c>
      <c r="D435" s="12">
        <v>40312296405</v>
      </c>
      <c r="E435" s="11">
        <f t="shared" si="35"/>
        <v>40312296405</v>
      </c>
      <c r="F435" s="11" t="s">
        <v>110</v>
      </c>
      <c r="G435" s="11" t="s">
        <v>48</v>
      </c>
      <c r="H435" s="12"/>
      <c r="I435" s="12" t="s">
        <v>109</v>
      </c>
      <c r="J435" s="11" t="s">
        <v>112</v>
      </c>
      <c r="K435" s="13" t="str">
        <f t="shared" si="33"/>
        <v>Румыния/Дожим/Zorra/40312296405@</v>
      </c>
      <c r="L435" s="13"/>
    </row>
    <row r="436" spans="1:12" ht="30" hidden="1" customHeight="1" x14ac:dyDescent="0.25">
      <c r="A436" s="10" t="s">
        <v>36</v>
      </c>
      <c r="B436" s="11" t="s">
        <v>120</v>
      </c>
      <c r="C436" s="11" t="s">
        <v>8</v>
      </c>
      <c r="D436" s="12" t="s">
        <v>149</v>
      </c>
      <c r="E436" s="11" t="str">
        <f t="shared" si="35"/>
        <v>40312295275</v>
      </c>
      <c r="F436" s="11" t="s">
        <v>151</v>
      </c>
      <c r="G436" s="11" t="s">
        <v>48</v>
      </c>
      <c r="H436" s="12"/>
      <c r="I436" s="12"/>
      <c r="J436" s="11" t="s">
        <v>150</v>
      </c>
      <c r="K436" s="13" t="str">
        <f t="shared" si="33"/>
        <v>Румыния/Zorra/40312295275@</v>
      </c>
      <c r="L436" s="13"/>
    </row>
    <row r="437" spans="1:12" ht="30" hidden="1" customHeight="1" x14ac:dyDescent="0.25">
      <c r="A437" s="10" t="s">
        <v>36</v>
      </c>
      <c r="B437" s="11" t="s">
        <v>120</v>
      </c>
      <c r="C437" s="11" t="s">
        <v>8</v>
      </c>
      <c r="D437" s="12" t="s">
        <v>84</v>
      </c>
      <c r="E437" s="11" t="str">
        <f t="shared" si="35"/>
        <v>40312295628</v>
      </c>
      <c r="F437" s="11" t="s">
        <v>87</v>
      </c>
      <c r="G437" s="11" t="s">
        <v>48</v>
      </c>
      <c r="H437" s="12"/>
      <c r="I437" s="12"/>
      <c r="J437" s="11"/>
      <c r="K437" s="13" t="str">
        <f t="shared" si="33"/>
        <v>Румыния/Zorra/40312295628@</v>
      </c>
      <c r="L437" s="13"/>
    </row>
    <row r="438" spans="1:12" ht="30" hidden="1" customHeight="1" x14ac:dyDescent="0.25">
      <c r="A438" s="10" t="s">
        <v>36</v>
      </c>
      <c r="B438" s="11" t="s">
        <v>120</v>
      </c>
      <c r="C438" s="11" t="s">
        <v>8</v>
      </c>
      <c r="D438" s="12" t="s">
        <v>85</v>
      </c>
      <c r="E438" s="11" t="str">
        <f t="shared" si="35"/>
        <v>40312295641</v>
      </c>
      <c r="F438" s="11" t="s">
        <v>86</v>
      </c>
      <c r="G438" s="11" t="s">
        <v>48</v>
      </c>
      <c r="H438" s="12"/>
      <c r="I438" s="12" t="s">
        <v>107</v>
      </c>
      <c r="J438" s="11" t="s">
        <v>111</v>
      </c>
      <c r="K438" s="13" t="str">
        <f t="shared" ref="K438:K446" si="36">IF(OR(E438="Укоротить",E438=0),"Нет номера",A438&amp;IF(ISBLANK(I438),"",$K$3&amp;I438)&amp;$K$3&amp;C438&amp;$K$3&amp;E438&amp;IF(ISBLANK(H438),"",$K$3&amp;H438&amp;"pfx")&amp;"@")</f>
        <v>Румыния/ИТМ/Zorra/40312295641@</v>
      </c>
      <c r="L438" s="13"/>
    </row>
    <row r="439" spans="1:12" ht="30" hidden="1" customHeight="1" x14ac:dyDescent="0.25">
      <c r="A439" s="10" t="s">
        <v>36</v>
      </c>
      <c r="B439" s="11" t="s">
        <v>120</v>
      </c>
      <c r="C439" s="11" t="s">
        <v>8</v>
      </c>
      <c r="D439" s="12" t="s">
        <v>130</v>
      </c>
      <c r="E439" s="11" t="str">
        <f t="shared" si="35"/>
        <v>40312296403</v>
      </c>
      <c r="F439" s="11" t="s">
        <v>131</v>
      </c>
      <c r="G439" s="11" t="s">
        <v>48</v>
      </c>
      <c r="H439" s="12"/>
      <c r="I439" s="12"/>
      <c r="J439" s="11" t="s">
        <v>148</v>
      </c>
      <c r="K439" s="13" t="str">
        <f t="shared" si="36"/>
        <v>Румыния/Zorra/40312296403@</v>
      </c>
      <c r="L439" s="13"/>
    </row>
    <row r="440" spans="1:12" ht="30" hidden="1" customHeight="1" x14ac:dyDescent="0.25">
      <c r="A440" s="10" t="s">
        <v>36</v>
      </c>
      <c r="B440" s="11" t="s">
        <v>120</v>
      </c>
      <c r="C440" s="11" t="s">
        <v>8</v>
      </c>
      <c r="D440" s="12" t="s">
        <v>183</v>
      </c>
      <c r="E440" s="11" t="str">
        <f t="shared" si="35"/>
        <v>40364228128</v>
      </c>
      <c r="F440" s="11" t="s">
        <v>186</v>
      </c>
      <c r="G440" s="11" t="s">
        <v>48</v>
      </c>
      <c r="H440" s="12"/>
      <c r="I440" s="12"/>
      <c r="J440" s="11"/>
      <c r="K440" s="13" t="str">
        <f t="shared" si="36"/>
        <v>Румыния/Zorra/40364228128@</v>
      </c>
      <c r="L440" s="11" t="s">
        <v>232</v>
      </c>
    </row>
    <row r="441" spans="1:12" ht="30" hidden="1" customHeight="1" x14ac:dyDescent="0.25">
      <c r="A441" s="10" t="s">
        <v>36</v>
      </c>
      <c r="B441" s="11" t="s">
        <v>188</v>
      </c>
      <c r="C441" s="11" t="s">
        <v>9</v>
      </c>
      <c r="D441" s="12" t="s">
        <v>189</v>
      </c>
      <c r="E441" s="11" t="str">
        <f t="shared" si="35"/>
        <v>40364228150</v>
      </c>
      <c r="F441" s="11" t="s">
        <v>191</v>
      </c>
      <c r="G441" s="11" t="s">
        <v>46</v>
      </c>
      <c r="H441" s="12"/>
      <c r="I441" s="12" t="s">
        <v>190</v>
      </c>
      <c r="J441" s="11"/>
      <c r="K441" s="13" t="str">
        <f t="shared" si="36"/>
        <v>Румыния/Autodial/Miatel/40364228150@</v>
      </c>
      <c r="L441" s="11"/>
    </row>
    <row r="442" spans="1:12" ht="30" hidden="1" customHeight="1" x14ac:dyDescent="0.25">
      <c r="A442" s="10" t="s">
        <v>274</v>
      </c>
      <c r="B442" s="11" t="s">
        <v>120</v>
      </c>
      <c r="C442" s="11" t="s">
        <v>9</v>
      </c>
      <c r="D442" s="12" t="s">
        <v>45</v>
      </c>
      <c r="E442" s="11" t="str">
        <f t="shared" si="35"/>
        <v>RND</v>
      </c>
      <c r="F442" s="11" t="s">
        <v>51</v>
      </c>
      <c r="G442" s="11" t="s">
        <v>46</v>
      </c>
      <c r="H442" s="12"/>
      <c r="I442" s="12"/>
      <c r="J442" s="11" t="s">
        <v>88</v>
      </c>
      <c r="K442" s="13" t="str">
        <f t="shared" si="36"/>
        <v>Финляндия/Miatel/RND@</v>
      </c>
      <c r="L442" s="11"/>
    </row>
    <row r="443" spans="1:12" ht="30" hidden="1" customHeight="1" x14ac:dyDescent="0.25">
      <c r="A443" s="10" t="s">
        <v>105</v>
      </c>
      <c r="B443" s="11" t="s">
        <v>120</v>
      </c>
      <c r="C443" s="11" t="s">
        <v>11</v>
      </c>
      <c r="D443" s="12" t="s">
        <v>50</v>
      </c>
      <c r="E443" s="11" t="str">
        <f t="shared" si="35"/>
        <v>SIM</v>
      </c>
      <c r="F443" s="11" t="s">
        <v>51</v>
      </c>
      <c r="G443" s="11"/>
      <c r="H443" s="12"/>
      <c r="I443" s="12"/>
      <c r="J443" s="11"/>
      <c r="K443" s="13" t="str">
        <f t="shared" si="36"/>
        <v>Чили/Шлюз/SIM@</v>
      </c>
      <c r="L443" s="11"/>
    </row>
    <row r="444" spans="1:12" ht="30" hidden="1" customHeight="1" x14ac:dyDescent="0.25">
      <c r="A444" s="10" t="s">
        <v>105</v>
      </c>
      <c r="B444" s="11" t="s">
        <v>122</v>
      </c>
      <c r="C444" s="11" t="s">
        <v>197</v>
      </c>
      <c r="D444" s="12" t="s">
        <v>45</v>
      </c>
      <c r="E444" s="11" t="str">
        <f t="shared" si="35"/>
        <v>RND</v>
      </c>
      <c r="F444" s="11" t="s">
        <v>51</v>
      </c>
      <c r="G444" s="11" t="s">
        <v>46</v>
      </c>
      <c r="H444" s="12" t="s">
        <v>96</v>
      </c>
      <c r="I444" s="12"/>
      <c r="J444" s="11" t="s">
        <v>204</v>
      </c>
      <c r="K444" s="13" t="str">
        <f t="shared" si="36"/>
        <v>Чили/VoIPPro/RND/00001pfx@</v>
      </c>
      <c r="L444" s="11"/>
    </row>
    <row r="445" spans="1:12" ht="30" hidden="1" customHeight="1" x14ac:dyDescent="0.25">
      <c r="A445" s="10" t="s">
        <v>105</v>
      </c>
      <c r="B445" s="11" t="s">
        <v>122</v>
      </c>
      <c r="C445" s="11" t="s">
        <v>197</v>
      </c>
      <c r="D445" s="12" t="s">
        <v>45</v>
      </c>
      <c r="E445" s="11" t="str">
        <f t="shared" si="35"/>
        <v>RND</v>
      </c>
      <c r="F445" s="11" t="s">
        <v>51</v>
      </c>
      <c r="G445" s="11" t="s">
        <v>46</v>
      </c>
      <c r="H445" s="12" t="s">
        <v>98</v>
      </c>
      <c r="I445" s="12"/>
      <c r="J445" s="11" t="s">
        <v>204</v>
      </c>
      <c r="K445" s="13" t="str">
        <f t="shared" si="36"/>
        <v>Чили/VoIPPro/RND/00pfx@</v>
      </c>
      <c r="L445" s="11"/>
    </row>
    <row r="446" spans="1:12" ht="30" hidden="1" customHeight="1" x14ac:dyDescent="0.25">
      <c r="A446" s="10" t="s">
        <v>105</v>
      </c>
      <c r="B446" s="11" t="s">
        <v>122</v>
      </c>
      <c r="C446" s="11" t="s">
        <v>197</v>
      </c>
      <c r="D446" s="12" t="s">
        <v>45</v>
      </c>
      <c r="E446" s="11" t="str">
        <f t="shared" si="35"/>
        <v>RND</v>
      </c>
      <c r="F446" s="11" t="s">
        <v>51</v>
      </c>
      <c r="G446" s="11" t="s">
        <v>46</v>
      </c>
      <c r="H446" s="12" t="s">
        <v>97</v>
      </c>
      <c r="I446" s="12"/>
      <c r="J446" s="11" t="s">
        <v>204</v>
      </c>
      <c r="K446" s="13" t="str">
        <f t="shared" si="36"/>
        <v>Чили/VoIPPro/RND/00000pfx@</v>
      </c>
      <c r="L446" s="11"/>
    </row>
    <row r="447" spans="1:12" ht="30" hidden="1" customHeight="1" x14ac:dyDescent="0.25">
      <c r="A447" s="3" t="s">
        <v>38</v>
      </c>
      <c r="B447" s="4" t="s">
        <v>120</v>
      </c>
      <c r="C447" s="4" t="s">
        <v>373</v>
      </c>
      <c r="D447" s="6" t="s">
        <v>45</v>
      </c>
      <c r="E447" s="4" t="s">
        <v>81</v>
      </c>
      <c r="F447" s="4" t="s">
        <v>371</v>
      </c>
      <c r="G447" s="4" t="s">
        <v>46</v>
      </c>
      <c r="H447" s="6"/>
      <c r="I447" s="6"/>
      <c r="J447" s="4"/>
      <c r="K447" s="30" t="s">
        <v>372</v>
      </c>
      <c r="L447" s="4"/>
    </row>
    <row r="448" spans="1:12" ht="30" customHeight="1" x14ac:dyDescent="0.25"/>
    <row r="449" ht="30" customHeight="1" x14ac:dyDescent="0.25"/>
    <row r="450" ht="30" customHeight="1" x14ac:dyDescent="0.25"/>
    <row r="451" ht="30" customHeight="1" x14ac:dyDescent="0.25"/>
    <row r="452" ht="30" customHeight="1" x14ac:dyDescent="0.25"/>
    <row r="453" ht="30" customHeight="1" x14ac:dyDescent="0.25"/>
    <row r="454" ht="30" customHeight="1" x14ac:dyDescent="0.25"/>
    <row r="455" ht="30" customHeight="1" x14ac:dyDescent="0.25"/>
    <row r="456" ht="30" customHeight="1" x14ac:dyDescent="0.25"/>
    <row r="457" ht="30" customHeight="1" x14ac:dyDescent="0.25"/>
    <row r="458" ht="30" customHeight="1" x14ac:dyDescent="0.25"/>
    <row r="459" ht="30" customHeight="1" x14ac:dyDescent="0.25"/>
    <row r="460" ht="30" customHeight="1" x14ac:dyDescent="0.25"/>
    <row r="461" ht="30" customHeight="1" x14ac:dyDescent="0.25"/>
    <row r="462" ht="30" customHeight="1" x14ac:dyDescent="0.25"/>
    <row r="463" ht="30" customHeight="1" x14ac:dyDescent="0.25"/>
    <row r="464" ht="30" customHeight="1" x14ac:dyDescent="0.25"/>
    <row r="465" ht="30" customHeight="1" x14ac:dyDescent="0.25"/>
    <row r="466" ht="30" customHeight="1" x14ac:dyDescent="0.25"/>
    <row r="467" ht="30" customHeight="1" x14ac:dyDescent="0.25"/>
    <row r="468" ht="30" customHeight="1" x14ac:dyDescent="0.25"/>
    <row r="469" ht="30" customHeight="1" x14ac:dyDescent="0.25"/>
    <row r="470" ht="30" customHeight="1" x14ac:dyDescent="0.25"/>
    <row r="471" ht="30" customHeight="1" x14ac:dyDescent="0.25"/>
    <row r="472" ht="30" customHeight="1" x14ac:dyDescent="0.25"/>
    <row r="473" ht="30" customHeight="1" x14ac:dyDescent="0.25"/>
    <row r="474" ht="30" customHeight="1" x14ac:dyDescent="0.25"/>
    <row r="475" ht="30" customHeight="1" x14ac:dyDescent="0.25"/>
    <row r="476" ht="30" customHeight="1" x14ac:dyDescent="0.25"/>
    <row r="477" ht="30" customHeight="1" x14ac:dyDescent="0.25"/>
    <row r="478" ht="30" customHeight="1" x14ac:dyDescent="0.25"/>
    <row r="479" ht="30" customHeight="1" x14ac:dyDescent="0.25"/>
    <row r="480" ht="30" customHeight="1" x14ac:dyDescent="0.25"/>
    <row r="481" ht="30" customHeight="1" x14ac:dyDescent="0.25"/>
    <row r="482" ht="30" customHeight="1" x14ac:dyDescent="0.25"/>
    <row r="483" ht="30" customHeight="1" x14ac:dyDescent="0.25"/>
    <row r="484" ht="30" customHeight="1" x14ac:dyDescent="0.25"/>
    <row r="485" ht="30" customHeight="1" x14ac:dyDescent="0.25"/>
    <row r="486" ht="30" customHeight="1" x14ac:dyDescent="0.25"/>
    <row r="487" ht="30" customHeight="1" x14ac:dyDescent="0.25"/>
    <row r="488" ht="30" customHeight="1" x14ac:dyDescent="0.25"/>
    <row r="489" ht="30" customHeight="1" x14ac:dyDescent="0.25"/>
    <row r="490" ht="30" customHeight="1" x14ac:dyDescent="0.25"/>
    <row r="491" ht="30" customHeight="1" x14ac:dyDescent="0.25"/>
    <row r="492" ht="30" customHeight="1" x14ac:dyDescent="0.25"/>
    <row r="493" ht="30" customHeight="1" x14ac:dyDescent="0.25"/>
    <row r="494" ht="30" customHeight="1" x14ac:dyDescent="0.25"/>
    <row r="495" ht="30" customHeight="1" x14ac:dyDescent="0.25"/>
    <row r="496" ht="30" customHeight="1" x14ac:dyDescent="0.25"/>
    <row r="497" ht="30" customHeight="1" x14ac:dyDescent="0.25"/>
    <row r="498" ht="30" customHeight="1" x14ac:dyDescent="0.25"/>
    <row r="499" ht="30" customHeight="1" x14ac:dyDescent="0.25"/>
    <row r="500" ht="30" customHeight="1" x14ac:dyDescent="0.25"/>
    <row r="501" ht="30" customHeight="1" x14ac:dyDescent="0.25"/>
    <row r="502" ht="30" customHeight="1" x14ac:dyDescent="0.25"/>
    <row r="503" ht="30" customHeight="1" x14ac:dyDescent="0.25"/>
    <row r="504" ht="30" customHeight="1" x14ac:dyDescent="0.25"/>
    <row r="505" ht="30" customHeight="1" x14ac:dyDescent="0.25"/>
    <row r="506" ht="30" customHeight="1" x14ac:dyDescent="0.25"/>
    <row r="507" ht="30" customHeight="1" x14ac:dyDescent="0.25"/>
    <row r="508" ht="30" customHeight="1" x14ac:dyDescent="0.25"/>
    <row r="509" ht="30" customHeight="1" x14ac:dyDescent="0.25"/>
    <row r="510" ht="30" customHeight="1" x14ac:dyDescent="0.25"/>
    <row r="511" ht="30" customHeight="1" x14ac:dyDescent="0.25"/>
    <row r="512" ht="30" customHeight="1" x14ac:dyDescent="0.25"/>
    <row r="513" ht="30" customHeight="1" x14ac:dyDescent="0.25"/>
    <row r="514" ht="30" customHeight="1" x14ac:dyDescent="0.25"/>
    <row r="515" ht="30" customHeight="1" x14ac:dyDescent="0.25"/>
    <row r="516" ht="30" customHeight="1" x14ac:dyDescent="0.25"/>
    <row r="517" ht="30" customHeight="1" x14ac:dyDescent="0.25"/>
    <row r="518" ht="30" customHeight="1" x14ac:dyDescent="0.25"/>
    <row r="519" ht="30" customHeight="1" x14ac:dyDescent="0.25"/>
    <row r="520" ht="30" customHeight="1" x14ac:dyDescent="0.25"/>
    <row r="521" ht="30" customHeight="1" x14ac:dyDescent="0.25"/>
    <row r="522" ht="30" customHeight="1" x14ac:dyDescent="0.25"/>
    <row r="523" ht="30" customHeight="1" x14ac:dyDescent="0.25"/>
    <row r="524" ht="30" customHeight="1" x14ac:dyDescent="0.25"/>
    <row r="525" ht="30" customHeight="1" x14ac:dyDescent="0.25"/>
    <row r="526" ht="30" customHeight="1" x14ac:dyDescent="0.25"/>
    <row r="527" ht="30" customHeight="1" x14ac:dyDescent="0.25"/>
    <row r="528" ht="30" customHeight="1" x14ac:dyDescent="0.25"/>
    <row r="529" ht="30" customHeight="1" x14ac:dyDescent="0.25"/>
    <row r="530" ht="30" customHeight="1" x14ac:dyDescent="0.25"/>
    <row r="531" ht="30" customHeight="1" x14ac:dyDescent="0.25"/>
    <row r="532" ht="30" customHeight="1" x14ac:dyDescent="0.25"/>
    <row r="533" ht="30" customHeight="1" x14ac:dyDescent="0.25"/>
    <row r="534" ht="30" customHeight="1" x14ac:dyDescent="0.25"/>
    <row r="535" ht="30" customHeight="1" x14ac:dyDescent="0.25"/>
    <row r="536" ht="30" customHeight="1" x14ac:dyDescent="0.25"/>
    <row r="537" ht="30" customHeight="1" x14ac:dyDescent="0.25"/>
    <row r="538" ht="30" customHeight="1" x14ac:dyDescent="0.25"/>
    <row r="539" ht="30" customHeight="1" x14ac:dyDescent="0.25"/>
    <row r="540" ht="30" customHeight="1" x14ac:dyDescent="0.25"/>
    <row r="541" ht="30" customHeight="1" x14ac:dyDescent="0.25"/>
    <row r="542" ht="30" customHeight="1" x14ac:dyDescent="0.25"/>
    <row r="543" ht="30" customHeight="1" x14ac:dyDescent="0.25"/>
    <row r="544" ht="30" customHeight="1" x14ac:dyDescent="0.25"/>
    <row r="545" ht="30" customHeight="1" x14ac:dyDescent="0.25"/>
    <row r="546" ht="30" customHeight="1" x14ac:dyDescent="0.25"/>
    <row r="547" ht="30" customHeight="1" x14ac:dyDescent="0.25"/>
    <row r="548" ht="30" customHeight="1" x14ac:dyDescent="0.25"/>
    <row r="549" ht="30" customHeight="1" x14ac:dyDescent="0.25"/>
    <row r="550" ht="30" customHeight="1" x14ac:dyDescent="0.25"/>
    <row r="551" ht="30" customHeight="1" x14ac:dyDescent="0.25"/>
    <row r="552" ht="30" customHeight="1" x14ac:dyDescent="0.25"/>
    <row r="553" ht="30" customHeight="1" x14ac:dyDescent="0.25"/>
    <row r="554" ht="30" customHeight="1" x14ac:dyDescent="0.25"/>
    <row r="555" ht="30" customHeight="1" x14ac:dyDescent="0.25"/>
    <row r="556" ht="30" customHeight="1" x14ac:dyDescent="0.25"/>
    <row r="557" ht="30" customHeight="1" x14ac:dyDescent="0.25"/>
    <row r="558" ht="30" customHeight="1" x14ac:dyDescent="0.25"/>
    <row r="559" ht="30" customHeight="1" x14ac:dyDescent="0.25"/>
    <row r="560" ht="30" customHeight="1" x14ac:dyDescent="0.25"/>
    <row r="561" ht="30" customHeight="1" x14ac:dyDescent="0.25"/>
    <row r="562" ht="30" customHeight="1" x14ac:dyDescent="0.25"/>
    <row r="563" ht="30" customHeight="1" x14ac:dyDescent="0.25"/>
    <row r="564" ht="30" customHeight="1" x14ac:dyDescent="0.25"/>
    <row r="565" ht="30" customHeight="1" x14ac:dyDescent="0.25"/>
    <row r="566" ht="30" customHeight="1" x14ac:dyDescent="0.25"/>
    <row r="567" ht="30" customHeight="1" x14ac:dyDescent="0.25"/>
    <row r="568" ht="30" customHeight="1" x14ac:dyDescent="0.25"/>
    <row r="569" ht="30" customHeight="1" x14ac:dyDescent="0.25"/>
    <row r="570" ht="30" customHeight="1" x14ac:dyDescent="0.25"/>
    <row r="571" ht="30" customHeight="1" x14ac:dyDescent="0.25"/>
    <row r="572" ht="30" customHeight="1" x14ac:dyDescent="0.25"/>
    <row r="573" ht="30" customHeight="1" x14ac:dyDescent="0.25"/>
    <row r="574" ht="30" customHeight="1" x14ac:dyDescent="0.25"/>
    <row r="575" ht="30" customHeight="1" x14ac:dyDescent="0.25"/>
    <row r="576" ht="30" customHeight="1" x14ac:dyDescent="0.25"/>
    <row r="577" ht="30" customHeight="1" x14ac:dyDescent="0.25"/>
    <row r="578" ht="30" customHeight="1" x14ac:dyDescent="0.25"/>
    <row r="579" ht="30" customHeight="1" x14ac:dyDescent="0.25"/>
    <row r="580" ht="30" customHeight="1" x14ac:dyDescent="0.25"/>
    <row r="581" ht="30" customHeight="1" x14ac:dyDescent="0.25"/>
    <row r="582" ht="30" customHeight="1" x14ac:dyDescent="0.25"/>
    <row r="583" ht="30" customHeight="1" x14ac:dyDescent="0.25"/>
    <row r="584" ht="30" customHeight="1" x14ac:dyDescent="0.25"/>
    <row r="585" ht="30" customHeight="1" x14ac:dyDescent="0.25"/>
    <row r="586" ht="30" customHeight="1" x14ac:dyDescent="0.25"/>
    <row r="587" ht="30" customHeight="1" x14ac:dyDescent="0.25"/>
    <row r="588" ht="30" customHeight="1" x14ac:dyDescent="0.25"/>
    <row r="589" ht="30" customHeight="1" x14ac:dyDescent="0.25"/>
    <row r="590" ht="30" customHeight="1" x14ac:dyDescent="0.25"/>
    <row r="591" ht="30" customHeight="1" x14ac:dyDescent="0.25"/>
    <row r="592" ht="30" customHeight="1" x14ac:dyDescent="0.25"/>
    <row r="593" ht="30" customHeight="1" x14ac:dyDescent="0.25"/>
    <row r="594" ht="30" customHeight="1" x14ac:dyDescent="0.25"/>
    <row r="595" ht="30" customHeight="1" x14ac:dyDescent="0.25"/>
    <row r="596" ht="30" customHeight="1" x14ac:dyDescent="0.25"/>
    <row r="597" ht="30" customHeight="1" x14ac:dyDescent="0.25"/>
    <row r="598" ht="30" customHeight="1" x14ac:dyDescent="0.25"/>
    <row r="599" ht="30" customHeight="1" x14ac:dyDescent="0.25"/>
    <row r="600" ht="30" customHeight="1" x14ac:dyDescent="0.25"/>
    <row r="601" ht="30" customHeight="1" x14ac:dyDescent="0.25"/>
    <row r="602" ht="30" customHeight="1" x14ac:dyDescent="0.25"/>
    <row r="603" ht="30" customHeight="1" x14ac:dyDescent="0.25"/>
    <row r="604" ht="30" customHeight="1" x14ac:dyDescent="0.25"/>
    <row r="605" ht="30" customHeight="1" x14ac:dyDescent="0.25"/>
    <row r="606" ht="30" customHeight="1" x14ac:dyDescent="0.25"/>
    <row r="607" ht="30" customHeight="1" x14ac:dyDescent="0.25"/>
    <row r="608" ht="30" customHeight="1" x14ac:dyDescent="0.25"/>
    <row r="609" ht="30" customHeight="1" x14ac:dyDescent="0.25"/>
    <row r="610" ht="30" customHeight="1" x14ac:dyDescent="0.25"/>
    <row r="611" ht="30" customHeight="1" x14ac:dyDescent="0.25"/>
    <row r="612" ht="30" customHeight="1" x14ac:dyDescent="0.25"/>
    <row r="613" ht="30" customHeight="1" x14ac:dyDescent="0.25"/>
    <row r="614" ht="30" customHeight="1" x14ac:dyDescent="0.25"/>
    <row r="615" ht="30" customHeight="1" x14ac:dyDescent="0.25"/>
    <row r="616" ht="30" customHeight="1" x14ac:dyDescent="0.25"/>
    <row r="617" ht="30" customHeight="1" x14ac:dyDescent="0.25"/>
    <row r="618" ht="30" customHeight="1" x14ac:dyDescent="0.25"/>
    <row r="619" ht="30" customHeight="1" x14ac:dyDescent="0.25"/>
    <row r="620" ht="30" customHeight="1" x14ac:dyDescent="0.25"/>
    <row r="621" ht="30" customHeight="1" x14ac:dyDescent="0.25"/>
    <row r="622" ht="30" customHeight="1" x14ac:dyDescent="0.25"/>
    <row r="623" ht="30" customHeight="1" x14ac:dyDescent="0.25"/>
    <row r="624" ht="30" customHeight="1" x14ac:dyDescent="0.25"/>
    <row r="625" ht="30" customHeight="1" x14ac:dyDescent="0.25"/>
    <row r="626" ht="30" customHeight="1" x14ac:dyDescent="0.25"/>
    <row r="627" ht="30" customHeight="1" x14ac:dyDescent="0.25"/>
    <row r="628" ht="30" customHeight="1" x14ac:dyDescent="0.25"/>
    <row r="629" ht="30" customHeight="1" x14ac:dyDescent="0.25"/>
    <row r="630" ht="30" customHeight="1" x14ac:dyDescent="0.25"/>
    <row r="631" ht="30" customHeight="1" x14ac:dyDescent="0.25"/>
    <row r="632" ht="30" customHeight="1" x14ac:dyDescent="0.25"/>
    <row r="633" ht="30" customHeight="1" x14ac:dyDescent="0.25"/>
    <row r="634" ht="30" customHeight="1" x14ac:dyDescent="0.25"/>
    <row r="635" ht="30" customHeight="1" x14ac:dyDescent="0.25"/>
    <row r="636" ht="30" customHeight="1" x14ac:dyDescent="0.25"/>
    <row r="637" ht="30" customHeight="1" x14ac:dyDescent="0.25"/>
    <row r="638" ht="30" customHeight="1" x14ac:dyDescent="0.25"/>
    <row r="639" ht="30" customHeight="1" x14ac:dyDescent="0.25"/>
    <row r="640" ht="30" customHeight="1" x14ac:dyDescent="0.25"/>
    <row r="641" ht="30" customHeight="1" x14ac:dyDescent="0.25"/>
    <row r="642" ht="30" customHeight="1" x14ac:dyDescent="0.25"/>
    <row r="643" ht="30" customHeight="1" x14ac:dyDescent="0.25"/>
    <row r="644" ht="30" customHeight="1" x14ac:dyDescent="0.25"/>
    <row r="645" ht="30" customHeight="1" x14ac:dyDescent="0.25"/>
    <row r="646" ht="30" customHeight="1" x14ac:dyDescent="0.25"/>
    <row r="647" ht="30" customHeight="1" x14ac:dyDescent="0.25"/>
    <row r="648" ht="30" customHeight="1" x14ac:dyDescent="0.25"/>
    <row r="649" ht="30" customHeight="1" x14ac:dyDescent="0.25"/>
    <row r="650" ht="30" customHeight="1" x14ac:dyDescent="0.25"/>
    <row r="651" ht="30" customHeight="1" x14ac:dyDescent="0.25"/>
    <row r="652" ht="30" customHeight="1" x14ac:dyDescent="0.25"/>
  </sheetData>
  <sheetProtection autoFilter="0"/>
  <mergeCells count="1">
    <mergeCell ref="A1:L1"/>
  </mergeCells>
  <phoneticPr fontId="8" type="noConversion"/>
  <conditionalFormatting sqref="K141:K144 K226:K230 K76 K175:K181 K362:K401 K403:K443 K447:K1048576 K330:K333 K161:K164 K335:K359 K149:K150 K152:K158 K235:K254 K266:K318 L266:L296 K193:K218 K183:K191 K79:K139 K2:K73">
    <cfRule type="cellIs" dxfId="95" priority="91" operator="equal">
      <formula>"Нет номера"</formula>
    </cfRule>
  </conditionalFormatting>
  <conditionalFormatting sqref="E142:E144 E226:E230 E76 E193 E362:E401 E403:E443 E161:E164 E335:E359 E175:E181 E149:E150 E152:E158 E235:E254 D281:E281 E266:E280 E199:E218 E447:E1048576 E183:E191 E282:E310 E314:E318 E330:E333 E79:E139 E3:E17 E19:E73">
    <cfRule type="cellIs" dxfId="94" priority="90" operator="equal">
      <formula>"Укоротить"</formula>
    </cfRule>
  </conditionalFormatting>
  <conditionalFormatting sqref="D235:D243 D247:D248 D266:D271">
    <cfRule type="cellIs" dxfId="93" priority="85" operator="equal">
      <formula>"Укоротить"</formula>
    </cfRule>
  </conditionalFormatting>
  <conditionalFormatting sqref="E141">
    <cfRule type="cellIs" dxfId="92" priority="81" operator="equal">
      <formula>"Укоротить"</formula>
    </cfRule>
  </conditionalFormatting>
  <conditionalFormatting sqref="E18">
    <cfRule type="cellIs" dxfId="91" priority="80" operator="equal">
      <formula>"Укоротить"</formula>
    </cfRule>
  </conditionalFormatting>
  <conditionalFormatting sqref="K140">
    <cfRule type="cellIs" dxfId="90" priority="79" operator="equal">
      <formula>"Нет номера"</formula>
    </cfRule>
  </conditionalFormatting>
  <conditionalFormatting sqref="E140">
    <cfRule type="cellIs" dxfId="89" priority="78" operator="equal">
      <formula>"Укоротить"</formula>
    </cfRule>
  </conditionalFormatting>
  <conditionalFormatting sqref="K273">
    <cfRule type="cellIs" dxfId="88" priority="75" operator="equal">
      <formula>"Нет номера"</formula>
    </cfRule>
  </conditionalFormatting>
  <conditionalFormatting sqref="E273">
    <cfRule type="cellIs" dxfId="87" priority="74" operator="equal">
      <formula>"Укоротить"</formula>
    </cfRule>
  </conditionalFormatting>
  <conditionalFormatting sqref="K231:K233">
    <cfRule type="cellIs" dxfId="86" priority="71" operator="equal">
      <formula>"Нет номера"</formula>
    </cfRule>
  </conditionalFormatting>
  <conditionalFormatting sqref="E231:E233">
    <cfRule type="cellIs" dxfId="85" priority="70" operator="equal">
      <formula>"Укоротить"</formula>
    </cfRule>
  </conditionalFormatting>
  <conditionalFormatting sqref="K219:K225">
    <cfRule type="cellIs" dxfId="84" priority="69" operator="equal">
      <formula>"Нет номера"</formula>
    </cfRule>
  </conditionalFormatting>
  <conditionalFormatting sqref="E219:E225">
    <cfRule type="cellIs" dxfId="83" priority="68" operator="equal">
      <formula>"Укоротить"</formula>
    </cfRule>
  </conditionalFormatting>
  <conditionalFormatting sqref="K74:K75">
    <cfRule type="cellIs" dxfId="82" priority="67" operator="equal">
      <formula>"Нет номера"</formula>
    </cfRule>
  </conditionalFormatting>
  <conditionalFormatting sqref="E74:E75">
    <cfRule type="cellIs" dxfId="81" priority="66" operator="equal">
      <formula>"Укоротить"</formula>
    </cfRule>
  </conditionalFormatting>
  <conditionalFormatting sqref="K77:K78">
    <cfRule type="cellIs" dxfId="80" priority="65" operator="equal">
      <formula>"Нет номера"</formula>
    </cfRule>
  </conditionalFormatting>
  <conditionalFormatting sqref="E77:E78">
    <cfRule type="cellIs" dxfId="79" priority="63" operator="equal">
      <formula>"Укоротить"</formula>
    </cfRule>
  </conditionalFormatting>
  <conditionalFormatting sqref="K159">
    <cfRule type="cellIs" dxfId="78" priority="62" operator="equal">
      <formula>"Нет номера"</formula>
    </cfRule>
  </conditionalFormatting>
  <conditionalFormatting sqref="E159">
    <cfRule type="cellIs" dxfId="77" priority="61" operator="equal">
      <formula>"Укоротить"</formula>
    </cfRule>
  </conditionalFormatting>
  <conditionalFormatting sqref="E194:E198">
    <cfRule type="cellIs" dxfId="76" priority="60" operator="equal">
      <formula>"Укоротить"</formula>
    </cfRule>
  </conditionalFormatting>
  <conditionalFormatting sqref="K234">
    <cfRule type="cellIs" dxfId="75" priority="55" operator="equal">
      <formula>"Нет номера"</formula>
    </cfRule>
  </conditionalFormatting>
  <conditionalFormatting sqref="E234">
    <cfRule type="cellIs" dxfId="74" priority="54" operator="equal">
      <formula>"Укоротить"</formula>
    </cfRule>
  </conditionalFormatting>
  <conditionalFormatting sqref="L273">
    <cfRule type="cellIs" dxfId="73" priority="50" operator="equal">
      <formula>"Нет номера"</formula>
    </cfRule>
  </conditionalFormatting>
  <conditionalFormatting sqref="K326:K329">
    <cfRule type="cellIs" dxfId="72" priority="49" operator="equal">
      <formula>"Нет номера"</formula>
    </cfRule>
  </conditionalFormatting>
  <conditionalFormatting sqref="E326:E329">
    <cfRule type="cellIs" dxfId="71" priority="48" operator="equal">
      <formula>"Укоротить"</formula>
    </cfRule>
  </conditionalFormatting>
  <conditionalFormatting sqref="L326:L329">
    <cfRule type="cellIs" dxfId="70" priority="47" operator="equal">
      <formula>"Нет номера"</formula>
    </cfRule>
  </conditionalFormatting>
  <conditionalFormatting sqref="K319:K325">
    <cfRule type="cellIs" dxfId="69" priority="43" operator="equal">
      <formula>"Нет номера"</formula>
    </cfRule>
  </conditionalFormatting>
  <conditionalFormatting sqref="E319:E320 E322:E324">
    <cfRule type="cellIs" dxfId="68" priority="42" operator="equal">
      <formula>"Укоротить"</formula>
    </cfRule>
  </conditionalFormatting>
  <conditionalFormatting sqref="K145:K148">
    <cfRule type="cellIs" dxfId="67" priority="37" operator="equal">
      <formula>"Нет номера"</formula>
    </cfRule>
  </conditionalFormatting>
  <conditionalFormatting sqref="E145:E148">
    <cfRule type="cellIs" dxfId="66" priority="36" operator="equal">
      <formula>"Укоротить"</formula>
    </cfRule>
  </conditionalFormatting>
  <conditionalFormatting sqref="K160">
    <cfRule type="cellIs" dxfId="65" priority="35" operator="equal">
      <formula>"Нет номера"</formula>
    </cfRule>
  </conditionalFormatting>
  <conditionalFormatting sqref="E160">
    <cfRule type="cellIs" dxfId="64" priority="34" operator="equal">
      <formula>"Укоротить"</formula>
    </cfRule>
  </conditionalFormatting>
  <conditionalFormatting sqref="K165:K172">
    <cfRule type="cellIs" dxfId="63" priority="33" operator="equal">
      <formula>"Нет номера"</formula>
    </cfRule>
  </conditionalFormatting>
  <conditionalFormatting sqref="E165:E166 E168:E172">
    <cfRule type="cellIs" dxfId="62" priority="32" operator="equal">
      <formula>"Укоротить"</formula>
    </cfRule>
  </conditionalFormatting>
  <conditionalFormatting sqref="K173:K174">
    <cfRule type="cellIs" dxfId="61" priority="31" operator="equal">
      <formula>"Нет номера"</formula>
    </cfRule>
  </conditionalFormatting>
  <conditionalFormatting sqref="E173">
    <cfRule type="cellIs" dxfId="60" priority="30" operator="equal">
      <formula>"Укоротить"</formula>
    </cfRule>
  </conditionalFormatting>
  <conditionalFormatting sqref="E174">
    <cfRule type="cellIs" dxfId="59" priority="29" operator="equal">
      <formula>"Укоротить"</formula>
    </cfRule>
  </conditionalFormatting>
  <conditionalFormatting sqref="K402 K192 K182">
    <cfRule type="cellIs" dxfId="58" priority="28" operator="equal">
      <formula>"Нет номера"</formula>
    </cfRule>
  </conditionalFormatting>
  <conditionalFormatting sqref="E402 E192 E182">
    <cfRule type="cellIs" dxfId="57" priority="27" operator="equal">
      <formula>"Укоротить"</formula>
    </cfRule>
  </conditionalFormatting>
  <conditionalFormatting sqref="K360:K361">
    <cfRule type="cellIs" dxfId="56" priority="26" operator="equal">
      <formula>"Нет номера"</formula>
    </cfRule>
  </conditionalFormatting>
  <conditionalFormatting sqref="E360:E361">
    <cfRule type="cellIs" dxfId="55" priority="25" operator="equal">
      <formula>"Укоротить"</formula>
    </cfRule>
  </conditionalFormatting>
  <conditionalFormatting sqref="K255:K265">
    <cfRule type="cellIs" dxfId="54" priority="24" operator="equal">
      <formula>"Нет номера"</formula>
    </cfRule>
  </conditionalFormatting>
  <conditionalFormatting sqref="E255:E257 E259:E265">
    <cfRule type="cellIs" dxfId="53" priority="23" operator="equal">
      <formula>"Укоротить"</formula>
    </cfRule>
  </conditionalFormatting>
  <conditionalFormatting sqref="D255:D257 D259:D265">
    <cfRule type="cellIs" dxfId="52" priority="22" operator="equal">
      <formula>"Укоротить"</formula>
    </cfRule>
  </conditionalFormatting>
  <conditionalFormatting sqref="D244">
    <cfRule type="cellIs" dxfId="51" priority="21" operator="equal">
      <formula>"Укоротить"</formula>
    </cfRule>
  </conditionalFormatting>
  <conditionalFormatting sqref="D245">
    <cfRule type="cellIs" dxfId="50" priority="20" operator="equal">
      <formula>"Укоротить"</formula>
    </cfRule>
  </conditionalFormatting>
  <conditionalFormatting sqref="D246">
    <cfRule type="cellIs" dxfId="49" priority="19" operator="equal">
      <formula>"Укоротить"</formula>
    </cfRule>
  </conditionalFormatting>
  <conditionalFormatting sqref="K444:K445">
    <cfRule type="cellIs" dxfId="48" priority="18" operator="equal">
      <formula>"Нет номера"</formula>
    </cfRule>
  </conditionalFormatting>
  <conditionalFormatting sqref="E444:E445">
    <cfRule type="cellIs" dxfId="47" priority="17" operator="equal">
      <formula>"Укоротить"</formula>
    </cfRule>
  </conditionalFormatting>
  <conditionalFormatting sqref="K446">
    <cfRule type="cellIs" dxfId="46" priority="16" operator="equal">
      <formula>"Нет номера"</formula>
    </cfRule>
  </conditionalFormatting>
  <conditionalFormatting sqref="E446">
    <cfRule type="cellIs" dxfId="45" priority="15" operator="equal">
      <formula>"Укоротить"</formula>
    </cfRule>
  </conditionalFormatting>
  <conditionalFormatting sqref="K334">
    <cfRule type="cellIs" dxfId="44" priority="14" operator="equal">
      <formula>"Нет номера"</formula>
    </cfRule>
  </conditionalFormatting>
  <conditionalFormatting sqref="E334">
    <cfRule type="cellIs" dxfId="43" priority="13" operator="equal">
      <formula>"Укоротить"</formula>
    </cfRule>
  </conditionalFormatting>
  <conditionalFormatting sqref="E167">
    <cfRule type="cellIs" dxfId="42" priority="12" operator="equal">
      <formula>"Укоротить"</formula>
    </cfRule>
  </conditionalFormatting>
  <conditionalFormatting sqref="E258">
    <cfRule type="cellIs" dxfId="41" priority="11" operator="equal">
      <formula>"Укоротить"</formula>
    </cfRule>
  </conditionalFormatting>
  <conditionalFormatting sqref="K151">
    <cfRule type="cellIs" dxfId="40" priority="10" operator="equal">
      <formula>"Нет номера"</formula>
    </cfRule>
  </conditionalFormatting>
  <conditionalFormatting sqref="E151">
    <cfRule type="cellIs" dxfId="39" priority="9" operator="equal">
      <formula>"Укоротить"</formula>
    </cfRule>
  </conditionalFormatting>
  <conditionalFormatting sqref="D249:D250">
    <cfRule type="cellIs" dxfId="38" priority="8" operator="equal">
      <formula>"Укоротить"</formula>
    </cfRule>
  </conditionalFormatting>
  <conditionalFormatting sqref="D251:D253">
    <cfRule type="cellIs" dxfId="37" priority="7" operator="equal">
      <formula>"Укоротить"</formula>
    </cfRule>
  </conditionalFormatting>
  <conditionalFormatting sqref="D277">
    <cfRule type="cellIs" dxfId="36" priority="6" operator="equal">
      <formula>"Укоротить"</formula>
    </cfRule>
  </conditionalFormatting>
  <conditionalFormatting sqref="D278">
    <cfRule type="cellIs" dxfId="35" priority="5" operator="equal">
      <formula>"Укоротить"</formula>
    </cfRule>
  </conditionalFormatting>
  <conditionalFormatting sqref="D279:D280">
    <cfRule type="cellIs" dxfId="34" priority="4" operator="equal">
      <formula>"Укоротить"</formula>
    </cfRule>
  </conditionalFormatting>
  <conditionalFormatting sqref="E321">
    <cfRule type="cellIs" dxfId="33" priority="3" operator="equal">
      <formula>"Укоротить"</formula>
    </cfRule>
  </conditionalFormatting>
  <conditionalFormatting sqref="D447">
    <cfRule type="cellIs" dxfId="32" priority="2" operator="equal">
      <formula>"Укоротить"</formula>
    </cfRule>
  </conditionalFormatting>
  <conditionalFormatting sqref="E325">
    <cfRule type="cellIs" dxfId="31" priority="1" operator="equal">
      <formula>"Укоротить"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workbookViewId="0">
      <selection activeCell="A31" sqref="A31"/>
    </sheetView>
  </sheetViews>
  <sheetFormatPr defaultRowHeight="15" x14ac:dyDescent="0.25"/>
  <cols>
    <col min="1" max="1" width="61.42578125" customWidth="1"/>
  </cols>
  <sheetData>
    <row r="1" spans="1:1" x14ac:dyDescent="0.25">
      <c r="A1" s="1" t="s">
        <v>3</v>
      </c>
    </row>
  </sheetData>
  <hyperlinks>
    <hyperlink ref="A1" r:id="rId1" xr:uid="{AC91B676-6712-4BC9-AF97-55F85673AE6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757E-C093-43A0-A6B0-3816038DDE54}">
  <sheetPr codeName="Лист3"/>
  <dimension ref="A1:I394"/>
  <sheetViews>
    <sheetView workbookViewId="0">
      <selection activeCell="D13" sqref="D13"/>
    </sheetView>
  </sheetViews>
  <sheetFormatPr defaultRowHeight="15" x14ac:dyDescent="0.25"/>
  <cols>
    <col min="1" max="4" width="25.42578125" style="2" customWidth="1"/>
    <col min="5" max="5" width="68.5703125" style="2" customWidth="1"/>
    <col min="6" max="6" width="17.5703125" style="2" customWidth="1"/>
    <col min="7" max="7" width="17.5703125" style="5" customWidth="1"/>
    <col min="8" max="8" width="44.140625" style="2" customWidth="1"/>
    <col min="9" max="9" width="53.28515625" style="2" customWidth="1"/>
    <col min="10" max="16384" width="9.140625" style="2"/>
  </cols>
  <sheetData>
    <row r="1" spans="1:9" ht="22.5" customHeight="1" x14ac:dyDescent="0.25">
      <c r="H1" s="8" t="s">
        <v>65</v>
      </c>
      <c r="I1" s="7" t="s">
        <v>66</v>
      </c>
    </row>
    <row r="2" spans="1:9" x14ac:dyDescent="0.25">
      <c r="A2" s="2" t="s">
        <v>0</v>
      </c>
      <c r="B2" s="2" t="s">
        <v>1</v>
      </c>
      <c r="C2" s="2" t="s">
        <v>2</v>
      </c>
      <c r="D2" s="2" t="s">
        <v>64</v>
      </c>
      <c r="E2" s="2" t="s">
        <v>5</v>
      </c>
      <c r="F2" s="2" t="s">
        <v>6</v>
      </c>
      <c r="G2" s="5" t="s">
        <v>4</v>
      </c>
      <c r="H2" s="2" t="s">
        <v>44</v>
      </c>
      <c r="I2" s="2" t="s">
        <v>63</v>
      </c>
    </row>
    <row r="3" spans="1:9" s="4" customFormat="1" ht="30" customHeight="1" x14ac:dyDescent="0.25">
      <c r="A3" s="3" t="s">
        <v>17</v>
      </c>
      <c r="B3" s="4" t="s">
        <v>7</v>
      </c>
      <c r="C3" s="6" t="s">
        <v>45</v>
      </c>
      <c r="D3" s="4" t="str">
        <f t="shared" ref="D3:D36" si="0">IF(C3="Random","RND",IF(LEN(C3)&gt;15,"Укоротить",IF(C3="Сим-карты","SIM",C3)))</f>
        <v>RND</v>
      </c>
      <c r="E3" s="4" t="s">
        <v>51</v>
      </c>
      <c r="F3" s="4" t="s">
        <v>46</v>
      </c>
      <c r="G3" s="6" t="s">
        <v>12</v>
      </c>
      <c r="I3" s="4" t="str">
        <f t="shared" ref="I3:I34" si="1">IF(OR(D3="Укоротить",D3=0),"Нет номера",A3&amp;$I$1&amp;B3&amp;$I$1&amp;D3&amp;IF(ISBLANK(G3),"",$I$1&amp;G3&amp;"pfx")&amp;"@")</f>
        <v>Австрия_Sancom_RND_0789pfx@</v>
      </c>
    </row>
    <row r="4" spans="1:9" s="4" customFormat="1" ht="30" customHeight="1" x14ac:dyDescent="0.25">
      <c r="A4" s="3" t="s">
        <v>17</v>
      </c>
      <c r="B4" s="4" t="s">
        <v>7</v>
      </c>
      <c r="C4" s="6" t="s">
        <v>45</v>
      </c>
      <c r="D4" s="4" t="str">
        <f t="shared" si="0"/>
        <v>RND</v>
      </c>
      <c r="E4" s="4" t="s">
        <v>51</v>
      </c>
      <c r="F4" s="4" t="s">
        <v>46</v>
      </c>
      <c r="G4" s="6" t="s">
        <v>16</v>
      </c>
      <c r="I4" s="4" t="str">
        <f t="shared" si="1"/>
        <v>Австрия_Sancom_RND_0827pfx@</v>
      </c>
    </row>
    <row r="5" spans="1:9" s="4" customFormat="1" ht="30" customHeight="1" x14ac:dyDescent="0.25">
      <c r="A5" s="3" t="s">
        <v>17</v>
      </c>
      <c r="B5" s="4" t="s">
        <v>9</v>
      </c>
      <c r="C5" s="6" t="s">
        <v>45</v>
      </c>
      <c r="D5" s="4" t="str">
        <f t="shared" si="0"/>
        <v>RND</v>
      </c>
      <c r="E5" s="4" t="s">
        <v>51</v>
      </c>
      <c r="F5" s="4" t="s">
        <v>46</v>
      </c>
      <c r="G5" s="6"/>
      <c r="I5" s="4" t="str">
        <f t="shared" si="1"/>
        <v>Австрия_Miatel_RND@</v>
      </c>
    </row>
    <row r="6" spans="1:9" s="4" customFormat="1" ht="30" customHeight="1" x14ac:dyDescent="0.25">
      <c r="A6" s="3" t="s">
        <v>17</v>
      </c>
      <c r="B6" s="4" t="s">
        <v>7</v>
      </c>
      <c r="C6" s="6">
        <v>43720816122</v>
      </c>
      <c r="D6" s="4">
        <f t="shared" si="0"/>
        <v>43720816122</v>
      </c>
      <c r="E6" s="4" t="s">
        <v>49</v>
      </c>
      <c r="F6" s="4" t="s">
        <v>48</v>
      </c>
      <c r="G6" s="6" t="s">
        <v>12</v>
      </c>
      <c r="H6" s="4" t="s">
        <v>47</v>
      </c>
      <c r="I6" s="4" t="str">
        <f t="shared" si="1"/>
        <v>Австрия_Sancom_43720816122_0789pfx@</v>
      </c>
    </row>
    <row r="7" spans="1:9" s="4" customFormat="1" ht="30" customHeight="1" x14ac:dyDescent="0.25">
      <c r="A7" s="3" t="s">
        <v>17</v>
      </c>
      <c r="B7" s="4" t="s">
        <v>7</v>
      </c>
      <c r="C7" s="6">
        <v>43720816122</v>
      </c>
      <c r="D7" s="4">
        <f t="shared" si="0"/>
        <v>43720816122</v>
      </c>
      <c r="E7" s="4" t="s">
        <v>49</v>
      </c>
      <c r="F7" s="4" t="s">
        <v>48</v>
      </c>
      <c r="G7" s="6" t="s">
        <v>16</v>
      </c>
      <c r="H7" s="4" t="s">
        <v>47</v>
      </c>
      <c r="I7" s="4" t="str">
        <f t="shared" si="1"/>
        <v>Австрия_Sancom_43720816122_0827pfx@</v>
      </c>
    </row>
    <row r="8" spans="1:9" s="4" customFormat="1" ht="30" customHeight="1" x14ac:dyDescent="0.25">
      <c r="A8" s="3" t="s">
        <v>17</v>
      </c>
      <c r="B8" s="4" t="s">
        <v>9</v>
      </c>
      <c r="C8" s="6">
        <v>43720816122</v>
      </c>
      <c r="D8" s="4">
        <f t="shared" si="0"/>
        <v>43720816122</v>
      </c>
      <c r="E8" s="4" t="s">
        <v>49</v>
      </c>
      <c r="F8" s="4" t="s">
        <v>48</v>
      </c>
      <c r="G8" s="6"/>
      <c r="H8" s="4" t="s">
        <v>47</v>
      </c>
      <c r="I8" s="4" t="str">
        <f t="shared" si="1"/>
        <v>Австрия_Miatel_43720816122@</v>
      </c>
    </row>
    <row r="9" spans="1:9" s="4" customFormat="1" ht="30" customHeight="1" x14ac:dyDescent="0.25">
      <c r="A9" s="3" t="s">
        <v>18</v>
      </c>
      <c r="B9" s="4" t="s">
        <v>7</v>
      </c>
      <c r="C9" s="6" t="s">
        <v>45</v>
      </c>
      <c r="D9" s="4" t="str">
        <f t="shared" si="0"/>
        <v>RND</v>
      </c>
      <c r="E9" s="4" t="s">
        <v>51</v>
      </c>
      <c r="F9" s="4" t="s">
        <v>46</v>
      </c>
      <c r="G9" s="6" t="s">
        <v>12</v>
      </c>
      <c r="I9" s="4" t="str">
        <f t="shared" si="1"/>
        <v>Албания_Sancom_RND_0789pfx@</v>
      </c>
    </row>
    <row r="10" spans="1:9" s="4" customFormat="1" ht="30" customHeight="1" x14ac:dyDescent="0.25">
      <c r="A10" s="3" t="s">
        <v>18</v>
      </c>
      <c r="B10" s="4" t="s">
        <v>9</v>
      </c>
      <c r="C10" s="6" t="s">
        <v>45</v>
      </c>
      <c r="D10" s="4" t="str">
        <f t="shared" si="0"/>
        <v>RND</v>
      </c>
      <c r="E10" s="4" t="s">
        <v>51</v>
      </c>
      <c r="F10" s="4" t="s">
        <v>46</v>
      </c>
      <c r="G10" s="6"/>
      <c r="I10" s="4" t="str">
        <f t="shared" si="1"/>
        <v>Албания_Miatel_RND@</v>
      </c>
    </row>
    <row r="11" spans="1:9" s="4" customFormat="1" ht="30" customHeight="1" x14ac:dyDescent="0.25">
      <c r="A11" s="3" t="s">
        <v>18</v>
      </c>
      <c r="B11" s="4" t="s">
        <v>11</v>
      </c>
      <c r="C11" s="6" t="s">
        <v>50</v>
      </c>
      <c r="D11" s="4" t="str">
        <f t="shared" si="0"/>
        <v>SIM</v>
      </c>
      <c r="F11" s="4" t="s">
        <v>46</v>
      </c>
      <c r="G11" s="6"/>
      <c r="I11" s="4" t="str">
        <f t="shared" si="1"/>
        <v>Албания_Шлюз_SIM@</v>
      </c>
    </row>
    <row r="12" spans="1:9" s="4" customFormat="1" ht="30" customHeight="1" x14ac:dyDescent="0.25">
      <c r="A12" s="3" t="s">
        <v>19</v>
      </c>
      <c r="B12" s="4" t="s">
        <v>7</v>
      </c>
      <c r="C12" s="6" t="s">
        <v>45</v>
      </c>
      <c r="D12" s="4" t="str">
        <f t="shared" si="0"/>
        <v>RND</v>
      </c>
      <c r="E12" s="4" t="s">
        <v>51</v>
      </c>
      <c r="F12" s="4" t="s">
        <v>46</v>
      </c>
      <c r="G12" s="6" t="s">
        <v>12</v>
      </c>
      <c r="H12" s="4" t="s">
        <v>52</v>
      </c>
      <c r="I12" s="4" t="str">
        <f t="shared" si="1"/>
        <v>Болгария_Sancom_RND_0789pfx@</v>
      </c>
    </row>
    <row r="13" spans="1:9" s="4" customFormat="1" ht="30" customHeight="1" x14ac:dyDescent="0.25">
      <c r="A13" s="3" t="s">
        <v>19</v>
      </c>
      <c r="B13" s="4" t="s">
        <v>7</v>
      </c>
      <c r="C13" s="6" t="s">
        <v>45</v>
      </c>
      <c r="D13" s="4" t="str">
        <f t="shared" si="0"/>
        <v>RND</v>
      </c>
      <c r="E13" s="4" t="s">
        <v>51</v>
      </c>
      <c r="F13" s="4" t="s">
        <v>46</v>
      </c>
      <c r="G13" s="6" t="s">
        <v>16</v>
      </c>
      <c r="H13" s="4" t="s">
        <v>52</v>
      </c>
      <c r="I13" s="4" t="str">
        <f t="shared" si="1"/>
        <v>Болгария_Sancom_RND_0827pfx@</v>
      </c>
    </row>
    <row r="14" spans="1:9" s="4" customFormat="1" ht="30" customHeight="1" x14ac:dyDescent="0.25">
      <c r="A14" s="3" t="s">
        <v>19</v>
      </c>
      <c r="B14" s="4" t="s">
        <v>9</v>
      </c>
      <c r="C14" s="6" t="s">
        <v>45</v>
      </c>
      <c r="D14" s="4" t="str">
        <f t="shared" si="0"/>
        <v>RND</v>
      </c>
      <c r="E14" s="4" t="s">
        <v>51</v>
      </c>
      <c r="F14" s="4" t="s">
        <v>46</v>
      </c>
      <c r="G14" s="6"/>
      <c r="H14" s="4" t="s">
        <v>52</v>
      </c>
      <c r="I14" s="4" t="str">
        <f t="shared" si="1"/>
        <v>Болгария_Miatel_RND@</v>
      </c>
    </row>
    <row r="15" spans="1:9" s="4" customFormat="1" ht="30" customHeight="1" x14ac:dyDescent="0.25">
      <c r="A15" s="3" t="s">
        <v>19</v>
      </c>
      <c r="B15" s="4" t="s">
        <v>8</v>
      </c>
      <c r="C15" s="6" t="s">
        <v>45</v>
      </c>
      <c r="D15" s="4" t="str">
        <f t="shared" si="0"/>
        <v>RND</v>
      </c>
      <c r="E15" s="4" t="s">
        <v>51</v>
      </c>
      <c r="F15" s="4" t="s">
        <v>46</v>
      </c>
      <c r="G15" s="6"/>
      <c r="H15" s="4" t="s">
        <v>52</v>
      </c>
      <c r="I15" s="4" t="str">
        <f t="shared" si="1"/>
        <v>Болгария_Zorra_RND@</v>
      </c>
    </row>
    <row r="16" spans="1:9" s="4" customFormat="1" ht="30" customHeight="1" x14ac:dyDescent="0.25">
      <c r="A16" s="3" t="s">
        <v>19</v>
      </c>
      <c r="B16" s="4" t="s">
        <v>10</v>
      </c>
      <c r="C16" s="6" t="s">
        <v>53</v>
      </c>
      <c r="D16" s="4" t="str">
        <f>2150&amp;I1&amp;3523&amp;I1&amp;2294</f>
        <v>2150_3523_2294</v>
      </c>
      <c r="E16" s="4" t="s">
        <v>54</v>
      </c>
      <c r="F16" s="4" t="s">
        <v>48</v>
      </c>
      <c r="G16" s="6"/>
      <c r="H16" s="4" t="s">
        <v>55</v>
      </c>
      <c r="I16" s="4" t="str">
        <f t="shared" si="1"/>
        <v>Болгария_Inftele_2150_3523_2294@</v>
      </c>
    </row>
    <row r="17" spans="1:9" s="4" customFormat="1" ht="30" customHeight="1" x14ac:dyDescent="0.25">
      <c r="A17" s="3" t="s">
        <v>20</v>
      </c>
      <c r="B17" s="4" t="s">
        <v>7</v>
      </c>
      <c r="C17" s="6" t="s">
        <v>45</v>
      </c>
      <c r="D17" s="4" t="str">
        <f t="shared" si="0"/>
        <v>RND</v>
      </c>
      <c r="E17" s="4" t="s">
        <v>51</v>
      </c>
      <c r="F17" s="4" t="s">
        <v>46</v>
      </c>
      <c r="G17" s="6" t="s">
        <v>12</v>
      </c>
      <c r="I17" s="4" t="str">
        <f t="shared" si="1"/>
        <v>Венгрия_Sancom_RND_0789pfx@</v>
      </c>
    </row>
    <row r="18" spans="1:9" s="4" customFormat="1" ht="30" customHeight="1" x14ac:dyDescent="0.25">
      <c r="A18" s="3" t="s">
        <v>20</v>
      </c>
      <c r="B18" s="4" t="s">
        <v>7</v>
      </c>
      <c r="C18" s="6" t="s">
        <v>45</v>
      </c>
      <c r="D18" s="4" t="str">
        <f t="shared" si="0"/>
        <v>RND</v>
      </c>
      <c r="E18" s="4" t="s">
        <v>51</v>
      </c>
      <c r="F18" s="4" t="s">
        <v>46</v>
      </c>
      <c r="G18" s="6" t="s">
        <v>16</v>
      </c>
      <c r="I18" s="4" t="str">
        <f t="shared" si="1"/>
        <v>Венгрия_Sancom_RND_0827pfx@</v>
      </c>
    </row>
    <row r="19" spans="1:9" s="4" customFormat="1" ht="30" customHeight="1" x14ac:dyDescent="0.25">
      <c r="A19" s="3" t="s">
        <v>20</v>
      </c>
      <c r="B19" s="4" t="s">
        <v>9</v>
      </c>
      <c r="C19" s="6" t="s">
        <v>45</v>
      </c>
      <c r="D19" s="4" t="str">
        <f t="shared" si="0"/>
        <v>RND</v>
      </c>
      <c r="E19" s="4" t="s">
        <v>51</v>
      </c>
      <c r="F19" s="4" t="s">
        <v>46</v>
      </c>
      <c r="G19" s="6"/>
      <c r="I19" s="4" t="str">
        <f t="shared" si="1"/>
        <v>Венгрия_Miatel_RND@</v>
      </c>
    </row>
    <row r="20" spans="1:9" s="4" customFormat="1" ht="30" customHeight="1" x14ac:dyDescent="0.25">
      <c r="A20" s="3" t="s">
        <v>20</v>
      </c>
      <c r="B20" s="4" t="s">
        <v>8</v>
      </c>
      <c r="C20" s="6" t="s">
        <v>45</v>
      </c>
      <c r="D20" s="4" t="str">
        <f t="shared" si="0"/>
        <v>RND</v>
      </c>
      <c r="E20" s="4" t="s">
        <v>51</v>
      </c>
      <c r="F20" s="4" t="s">
        <v>46</v>
      </c>
      <c r="G20" s="6"/>
      <c r="I20" s="4" t="str">
        <f t="shared" si="1"/>
        <v>Венгрия_Zorra_RND@</v>
      </c>
    </row>
    <row r="21" spans="1:9" s="4" customFormat="1" ht="30" customHeight="1" x14ac:dyDescent="0.25">
      <c r="A21" s="3" t="s">
        <v>20</v>
      </c>
      <c r="B21" s="4" t="s">
        <v>7</v>
      </c>
      <c r="C21" s="6">
        <v>3614088308</v>
      </c>
      <c r="D21" s="4">
        <f t="shared" si="0"/>
        <v>3614088308</v>
      </c>
      <c r="E21" s="4" t="s">
        <v>56</v>
      </c>
      <c r="F21" s="4" t="s">
        <v>48</v>
      </c>
      <c r="G21" s="6" t="s">
        <v>12</v>
      </c>
      <c r="H21" s="4" t="s">
        <v>60</v>
      </c>
      <c r="I21" s="4" t="str">
        <f t="shared" si="1"/>
        <v>Венгрия_Sancom_3614088308_0789pfx@</v>
      </c>
    </row>
    <row r="22" spans="1:9" s="4" customFormat="1" ht="30" customHeight="1" x14ac:dyDescent="0.25">
      <c r="A22" s="3" t="s">
        <v>20</v>
      </c>
      <c r="B22" s="4" t="s">
        <v>7</v>
      </c>
      <c r="C22" s="6">
        <v>3614088308</v>
      </c>
      <c r="D22" s="4">
        <f t="shared" si="0"/>
        <v>3614088308</v>
      </c>
      <c r="E22" s="4" t="s">
        <v>56</v>
      </c>
      <c r="F22" s="4" t="s">
        <v>48</v>
      </c>
      <c r="G22" s="6" t="s">
        <v>16</v>
      </c>
      <c r="H22" s="4" t="s">
        <v>60</v>
      </c>
      <c r="I22" s="4" t="str">
        <f t="shared" si="1"/>
        <v>Венгрия_Sancom_3614088308_0827pfx@</v>
      </c>
    </row>
    <row r="23" spans="1:9" s="4" customFormat="1" ht="30" customHeight="1" x14ac:dyDescent="0.25">
      <c r="A23" s="3" t="s">
        <v>20</v>
      </c>
      <c r="B23" s="4" t="s">
        <v>9</v>
      </c>
      <c r="C23" s="6">
        <v>3614088308</v>
      </c>
      <c r="D23" s="4">
        <f t="shared" si="0"/>
        <v>3614088308</v>
      </c>
      <c r="E23" s="4" t="s">
        <v>56</v>
      </c>
      <c r="F23" s="4" t="s">
        <v>48</v>
      </c>
      <c r="G23" s="6"/>
      <c r="H23" s="4" t="s">
        <v>60</v>
      </c>
      <c r="I23" s="4" t="str">
        <f t="shared" si="1"/>
        <v>Венгрия_Miatel_3614088308@</v>
      </c>
    </row>
    <row r="24" spans="1:9" s="4" customFormat="1" ht="30" customHeight="1" x14ac:dyDescent="0.25">
      <c r="A24" s="3" t="s">
        <v>20</v>
      </c>
      <c r="B24" s="4" t="s">
        <v>8</v>
      </c>
      <c r="C24" s="6">
        <v>3614088308</v>
      </c>
      <c r="D24" s="4">
        <f t="shared" si="0"/>
        <v>3614088308</v>
      </c>
      <c r="E24" s="4" t="s">
        <v>56</v>
      </c>
      <c r="F24" s="4" t="s">
        <v>48</v>
      </c>
      <c r="G24" s="6"/>
      <c r="H24" s="4" t="s">
        <v>60</v>
      </c>
      <c r="I24" s="4" t="str">
        <f t="shared" si="1"/>
        <v>Венгрия_Zorra_3614088308@</v>
      </c>
    </row>
    <row r="25" spans="1:9" s="4" customFormat="1" ht="30" customHeight="1" x14ac:dyDescent="0.25">
      <c r="A25" s="3" t="s">
        <v>21</v>
      </c>
      <c r="B25" s="4" t="s">
        <v>7</v>
      </c>
      <c r="C25" s="6" t="s">
        <v>45</v>
      </c>
      <c r="D25" s="4" t="str">
        <f t="shared" si="0"/>
        <v>RND</v>
      </c>
      <c r="E25" s="4" t="s">
        <v>51</v>
      </c>
      <c r="F25" s="4" t="s">
        <v>46</v>
      </c>
      <c r="G25" s="6" t="s">
        <v>12</v>
      </c>
      <c r="I25" s="4" t="str">
        <f t="shared" si="1"/>
        <v>Германия_Sancom_RND_0789pfx@</v>
      </c>
    </row>
    <row r="26" spans="1:9" s="4" customFormat="1" ht="30" customHeight="1" x14ac:dyDescent="0.25">
      <c r="A26" s="3" t="s">
        <v>21</v>
      </c>
      <c r="B26" s="4" t="s">
        <v>7</v>
      </c>
      <c r="C26" s="6" t="s">
        <v>45</v>
      </c>
      <c r="D26" s="4" t="str">
        <f t="shared" si="0"/>
        <v>RND</v>
      </c>
      <c r="E26" s="4" t="s">
        <v>51</v>
      </c>
      <c r="F26" s="4" t="s">
        <v>46</v>
      </c>
      <c r="G26" s="6" t="s">
        <v>13</v>
      </c>
      <c r="I26" s="4" t="str">
        <f t="shared" si="1"/>
        <v>Германия_Sancom_RND_0792pfx@</v>
      </c>
    </row>
    <row r="27" spans="1:9" s="4" customFormat="1" ht="30" customHeight="1" x14ac:dyDescent="0.25">
      <c r="A27" s="3" t="s">
        <v>21</v>
      </c>
      <c r="B27" s="4" t="s">
        <v>9</v>
      </c>
      <c r="C27" s="6" t="s">
        <v>45</v>
      </c>
      <c r="D27" s="4" t="str">
        <f t="shared" si="0"/>
        <v>RND</v>
      </c>
      <c r="E27" s="4" t="s">
        <v>51</v>
      </c>
      <c r="F27" s="4" t="s">
        <v>46</v>
      </c>
      <c r="G27" s="6"/>
      <c r="I27" s="4" t="str">
        <f t="shared" si="1"/>
        <v>Германия_Miatel_RND@</v>
      </c>
    </row>
    <row r="28" spans="1:9" s="4" customFormat="1" ht="30" customHeight="1" x14ac:dyDescent="0.25">
      <c r="A28" s="3" t="s">
        <v>21</v>
      </c>
      <c r="B28" s="4" t="s">
        <v>8</v>
      </c>
      <c r="C28" s="6" t="s">
        <v>45</v>
      </c>
      <c r="D28" s="4" t="str">
        <f t="shared" si="0"/>
        <v>RND</v>
      </c>
      <c r="E28" s="4" t="s">
        <v>51</v>
      </c>
      <c r="F28" s="4" t="s">
        <v>46</v>
      </c>
      <c r="G28" s="6"/>
      <c r="I28" s="4" t="str">
        <f t="shared" si="1"/>
        <v>Германия_Zorra_RND@</v>
      </c>
    </row>
    <row r="29" spans="1:9" s="4" customFormat="1" ht="30" customHeight="1" x14ac:dyDescent="0.25">
      <c r="A29" s="3" t="s">
        <v>21</v>
      </c>
      <c r="B29" s="4" t="s">
        <v>7</v>
      </c>
      <c r="C29" s="6" t="s">
        <v>57</v>
      </c>
      <c r="D29" s="4" t="str">
        <f t="shared" si="0"/>
        <v>493031879885</v>
      </c>
      <c r="E29" s="4" t="s">
        <v>58</v>
      </c>
      <c r="F29" s="4" t="s">
        <v>48</v>
      </c>
      <c r="G29" s="6" t="s">
        <v>12</v>
      </c>
      <c r="H29" s="4" t="s">
        <v>61</v>
      </c>
      <c r="I29" s="4" t="str">
        <f t="shared" si="1"/>
        <v>Германия_Sancom_493031879885_0789pfx@</v>
      </c>
    </row>
    <row r="30" spans="1:9" s="4" customFormat="1" ht="30" customHeight="1" x14ac:dyDescent="0.25">
      <c r="A30" s="3" t="s">
        <v>21</v>
      </c>
      <c r="B30" s="4" t="s">
        <v>7</v>
      </c>
      <c r="C30" s="6" t="s">
        <v>57</v>
      </c>
      <c r="D30" s="4" t="str">
        <f t="shared" si="0"/>
        <v>493031879885</v>
      </c>
      <c r="E30" s="4" t="s">
        <v>58</v>
      </c>
      <c r="F30" s="4" t="s">
        <v>48</v>
      </c>
      <c r="G30" s="6" t="s">
        <v>13</v>
      </c>
      <c r="H30" s="4" t="s">
        <v>61</v>
      </c>
      <c r="I30" s="4" t="str">
        <f t="shared" si="1"/>
        <v>Германия_Sancom_493031879885_0792pfx@</v>
      </c>
    </row>
    <row r="31" spans="1:9" s="4" customFormat="1" ht="30" customHeight="1" x14ac:dyDescent="0.25">
      <c r="A31" s="3" t="s">
        <v>21</v>
      </c>
      <c r="B31" s="4" t="s">
        <v>9</v>
      </c>
      <c r="C31" s="6" t="s">
        <v>57</v>
      </c>
      <c r="D31" s="4" t="str">
        <f t="shared" si="0"/>
        <v>493031879885</v>
      </c>
      <c r="E31" s="4" t="s">
        <v>58</v>
      </c>
      <c r="F31" s="4" t="s">
        <v>48</v>
      </c>
      <c r="G31" s="6"/>
      <c r="H31" s="4" t="s">
        <v>61</v>
      </c>
      <c r="I31" s="4" t="str">
        <f t="shared" si="1"/>
        <v>Германия_Miatel_493031879885@</v>
      </c>
    </row>
    <row r="32" spans="1:9" s="4" customFormat="1" ht="30" customHeight="1" x14ac:dyDescent="0.25">
      <c r="A32" s="3" t="s">
        <v>21</v>
      </c>
      <c r="B32" s="4" t="s">
        <v>8</v>
      </c>
      <c r="C32" s="6" t="s">
        <v>57</v>
      </c>
      <c r="D32" s="4" t="str">
        <f t="shared" si="0"/>
        <v>493031879885</v>
      </c>
      <c r="E32" s="4" t="s">
        <v>58</v>
      </c>
      <c r="F32" s="4" t="s">
        <v>48</v>
      </c>
      <c r="G32" s="6"/>
      <c r="H32" s="4" t="s">
        <v>61</v>
      </c>
      <c r="I32" s="4" t="str">
        <f t="shared" si="1"/>
        <v>Германия_Zorra_493031879885@</v>
      </c>
    </row>
    <row r="33" spans="1:9" s="4" customFormat="1" ht="30" customHeight="1" x14ac:dyDescent="0.25">
      <c r="A33" s="3" t="s">
        <v>21</v>
      </c>
      <c r="B33" s="4" t="s">
        <v>7</v>
      </c>
      <c r="C33" s="6">
        <v>43720881870</v>
      </c>
      <c r="D33" s="4">
        <f t="shared" si="0"/>
        <v>43720881870</v>
      </c>
      <c r="E33" s="4" t="s">
        <v>59</v>
      </c>
      <c r="F33" s="4" t="s">
        <v>48</v>
      </c>
      <c r="G33" s="6" t="s">
        <v>12</v>
      </c>
      <c r="H33" s="4" t="s">
        <v>62</v>
      </c>
      <c r="I33" s="4" t="str">
        <f t="shared" si="1"/>
        <v>Германия_Sancom_43720881870_0789pfx@</v>
      </c>
    </row>
    <row r="34" spans="1:9" s="4" customFormat="1" ht="30" customHeight="1" x14ac:dyDescent="0.25">
      <c r="A34" s="3" t="s">
        <v>21</v>
      </c>
      <c r="B34" s="4" t="s">
        <v>7</v>
      </c>
      <c r="C34" s="6">
        <v>43720881870</v>
      </c>
      <c r="D34" s="4">
        <f t="shared" si="0"/>
        <v>43720881870</v>
      </c>
      <c r="E34" s="4" t="s">
        <v>59</v>
      </c>
      <c r="F34" s="4" t="s">
        <v>48</v>
      </c>
      <c r="G34" s="6" t="s">
        <v>13</v>
      </c>
      <c r="H34" s="4" t="s">
        <v>62</v>
      </c>
      <c r="I34" s="4" t="str">
        <f t="shared" si="1"/>
        <v>Германия_Sancom_43720881870_0792pfx@</v>
      </c>
    </row>
    <row r="35" spans="1:9" s="4" customFormat="1" ht="30" customHeight="1" x14ac:dyDescent="0.25">
      <c r="A35" s="3" t="s">
        <v>21</v>
      </c>
      <c r="B35" s="4" t="s">
        <v>9</v>
      </c>
      <c r="C35" s="6">
        <v>43720881870</v>
      </c>
      <c r="D35" s="4">
        <f t="shared" si="0"/>
        <v>43720881870</v>
      </c>
      <c r="E35" s="4" t="s">
        <v>59</v>
      </c>
      <c r="F35" s="4" t="s">
        <v>48</v>
      </c>
      <c r="G35" s="6"/>
      <c r="H35" s="4" t="s">
        <v>62</v>
      </c>
      <c r="I35" s="4" t="str">
        <f t="shared" ref="I35:I54" si="2">IF(OR(D35="Укоротить",D35=0),"Нет номера",A35&amp;$I$1&amp;B35&amp;$I$1&amp;D35&amp;IF(ISBLANK(G35),"",$I$1&amp;G35&amp;"pfx")&amp;"@")</f>
        <v>Германия_Miatel_43720881870@</v>
      </c>
    </row>
    <row r="36" spans="1:9" s="4" customFormat="1" ht="30" customHeight="1" x14ac:dyDescent="0.25">
      <c r="A36" s="3" t="s">
        <v>21</v>
      </c>
      <c r="B36" s="4" t="s">
        <v>8</v>
      </c>
      <c r="C36" s="6">
        <v>43720881870</v>
      </c>
      <c r="D36" s="4">
        <f t="shared" si="0"/>
        <v>43720881870</v>
      </c>
      <c r="E36" s="4" t="s">
        <v>59</v>
      </c>
      <c r="F36" s="4" t="s">
        <v>48</v>
      </c>
      <c r="G36" s="6"/>
      <c r="H36" s="4" t="s">
        <v>62</v>
      </c>
      <c r="I36" s="4" t="str">
        <f t="shared" si="2"/>
        <v>Германия_Zorra_43720881870@</v>
      </c>
    </row>
    <row r="37" spans="1:9" s="4" customFormat="1" ht="30" customHeight="1" x14ac:dyDescent="0.25">
      <c r="A37" s="3" t="s">
        <v>22</v>
      </c>
      <c r="B37" s="4" t="s">
        <v>7</v>
      </c>
      <c r="C37" s="6" t="s">
        <v>45</v>
      </c>
      <c r="D37" s="4" t="str">
        <f t="shared" ref="D37:D43" si="3">IF(C37="Random","RND",IF(LEN(C37)&gt;15,"Укоротить",IF(C37="Сим-карты","SIM",C37)))</f>
        <v>RND</v>
      </c>
      <c r="E37" s="4" t="s">
        <v>51</v>
      </c>
      <c r="F37" s="4" t="s">
        <v>46</v>
      </c>
      <c r="G37" s="6" t="s">
        <v>12</v>
      </c>
      <c r="I37" s="4" t="str">
        <f t="shared" si="2"/>
        <v>Греция_Sancom_RND_0789pfx@</v>
      </c>
    </row>
    <row r="38" spans="1:9" s="4" customFormat="1" ht="30" customHeight="1" x14ac:dyDescent="0.25">
      <c r="A38" s="3" t="s">
        <v>22</v>
      </c>
      <c r="B38" s="4" t="s">
        <v>9</v>
      </c>
      <c r="C38" s="6" t="s">
        <v>45</v>
      </c>
      <c r="D38" s="4" t="str">
        <f t="shared" si="3"/>
        <v>RND</v>
      </c>
      <c r="E38" s="4" t="s">
        <v>51</v>
      </c>
      <c r="F38" s="4" t="s">
        <v>46</v>
      </c>
      <c r="G38" s="6"/>
      <c r="I38" s="4" t="str">
        <f t="shared" si="2"/>
        <v>Греция_Miatel_RND@</v>
      </c>
    </row>
    <row r="39" spans="1:9" s="4" customFormat="1" ht="30" customHeight="1" x14ac:dyDescent="0.25">
      <c r="A39" s="3" t="s">
        <v>22</v>
      </c>
      <c r="B39" s="4" t="s">
        <v>8</v>
      </c>
      <c r="C39" s="6" t="s">
        <v>45</v>
      </c>
      <c r="D39" s="4" t="str">
        <f t="shared" si="3"/>
        <v>RND</v>
      </c>
      <c r="E39" s="4" t="s">
        <v>51</v>
      </c>
      <c r="F39" s="4" t="s">
        <v>46</v>
      </c>
      <c r="G39" s="6"/>
      <c r="I39" s="4" t="str">
        <f t="shared" si="2"/>
        <v>Греция_Zorra_RND@</v>
      </c>
    </row>
    <row r="40" spans="1:9" s="4" customFormat="1" ht="30" customHeight="1" x14ac:dyDescent="0.25">
      <c r="A40" s="3" t="s">
        <v>22</v>
      </c>
      <c r="B40" s="4" t="s">
        <v>7</v>
      </c>
      <c r="C40" s="6" t="s">
        <v>68</v>
      </c>
      <c r="D40" s="4" t="str">
        <f t="shared" si="3"/>
        <v>302311181485</v>
      </c>
      <c r="E40" s="4" t="s">
        <v>70</v>
      </c>
      <c r="F40" s="4" t="s">
        <v>48</v>
      </c>
      <c r="G40" s="6" t="s">
        <v>12</v>
      </c>
      <c r="H40" s="4" t="s">
        <v>69</v>
      </c>
      <c r="I40" s="4" t="str">
        <f t="shared" si="2"/>
        <v>Греция_Sancom_302311181485_0789pfx@</v>
      </c>
    </row>
    <row r="41" spans="1:9" ht="30" customHeight="1" x14ac:dyDescent="0.25">
      <c r="A41" s="3" t="s">
        <v>22</v>
      </c>
      <c r="B41" s="4" t="s">
        <v>9</v>
      </c>
      <c r="C41" s="6" t="s">
        <v>68</v>
      </c>
      <c r="D41" s="4" t="str">
        <f t="shared" si="3"/>
        <v>302311181485</v>
      </c>
      <c r="E41" s="4" t="s">
        <v>70</v>
      </c>
      <c r="F41" s="4" t="s">
        <v>48</v>
      </c>
      <c r="G41" s="6"/>
      <c r="H41" s="4" t="s">
        <v>69</v>
      </c>
      <c r="I41" s="4" t="str">
        <f t="shared" si="2"/>
        <v>Греция_Miatel_302311181485@</v>
      </c>
    </row>
    <row r="42" spans="1:9" ht="30" customHeight="1" x14ac:dyDescent="0.25">
      <c r="A42" s="3" t="s">
        <v>22</v>
      </c>
      <c r="B42" s="4" t="s">
        <v>8</v>
      </c>
      <c r="C42" s="6" t="s">
        <v>68</v>
      </c>
      <c r="D42" s="4" t="str">
        <f t="shared" si="3"/>
        <v>302311181485</v>
      </c>
      <c r="E42" s="4" t="s">
        <v>70</v>
      </c>
      <c r="F42" s="4" t="s">
        <v>48</v>
      </c>
      <c r="G42" s="6"/>
      <c r="H42" s="4" t="s">
        <v>69</v>
      </c>
      <c r="I42" s="4" t="str">
        <f t="shared" si="2"/>
        <v>Греция_Zorra_302311181485@</v>
      </c>
    </row>
    <row r="43" spans="1:9" ht="30" customHeight="1" x14ac:dyDescent="0.25">
      <c r="A43" s="3" t="s">
        <v>23</v>
      </c>
      <c r="B43" s="4" t="s">
        <v>7</v>
      </c>
      <c r="C43" s="6" t="s">
        <v>45</v>
      </c>
      <c r="D43" s="4" t="str">
        <f t="shared" si="3"/>
        <v>RND</v>
      </c>
      <c r="E43" s="4" t="s">
        <v>51</v>
      </c>
      <c r="F43" s="4" t="s">
        <v>46</v>
      </c>
      <c r="G43" s="6" t="s">
        <v>12</v>
      </c>
      <c r="H43" s="4"/>
      <c r="I43" s="4" t="str">
        <f t="shared" si="2"/>
        <v>Испания_Sancom_RND_0789pfx@</v>
      </c>
    </row>
    <row r="44" spans="1:9" ht="30" customHeight="1" x14ac:dyDescent="0.25">
      <c r="A44" s="3" t="s">
        <v>23</v>
      </c>
      <c r="B44" s="4" t="s">
        <v>7</v>
      </c>
      <c r="C44" s="6" t="s">
        <v>45</v>
      </c>
      <c r="D44" s="4" t="str">
        <f t="shared" ref="D44:D46" si="4">IF(C44="Random","RND",IF(LEN(C44)&gt;15,"Укоротить",IF(C44="Сим-карты","SIM",C44)))</f>
        <v>RND</v>
      </c>
      <c r="E44" s="4" t="s">
        <v>51</v>
      </c>
      <c r="F44" s="4" t="s">
        <v>46</v>
      </c>
      <c r="G44" s="6" t="s">
        <v>16</v>
      </c>
      <c r="H44" s="4"/>
      <c r="I44" s="4" t="str">
        <f t="shared" si="2"/>
        <v>Испания_Sancom_RND_0827pfx@</v>
      </c>
    </row>
    <row r="45" spans="1:9" ht="30" customHeight="1" x14ac:dyDescent="0.25">
      <c r="A45" s="3" t="s">
        <v>23</v>
      </c>
      <c r="B45" s="4" t="s">
        <v>9</v>
      </c>
      <c r="C45" s="6" t="s">
        <v>45</v>
      </c>
      <c r="D45" s="4" t="str">
        <f t="shared" si="4"/>
        <v>RND</v>
      </c>
      <c r="E45" s="4" t="s">
        <v>51</v>
      </c>
      <c r="F45" s="4" t="s">
        <v>46</v>
      </c>
      <c r="G45" s="6"/>
      <c r="H45" s="4"/>
      <c r="I45" s="4" t="str">
        <f t="shared" si="2"/>
        <v>Испания_Miatel_RND@</v>
      </c>
    </row>
    <row r="46" spans="1:9" ht="30" customHeight="1" x14ac:dyDescent="0.25">
      <c r="A46" s="3" t="s">
        <v>23</v>
      </c>
      <c r="B46" s="4" t="s">
        <v>8</v>
      </c>
      <c r="C46" s="6" t="s">
        <v>45</v>
      </c>
      <c r="D46" s="4" t="str">
        <f t="shared" si="4"/>
        <v>RND</v>
      </c>
      <c r="E46" s="4" t="s">
        <v>51</v>
      </c>
      <c r="F46" s="4" t="s">
        <v>46</v>
      </c>
      <c r="G46" s="6"/>
      <c r="H46" s="4"/>
      <c r="I46" s="4" t="str">
        <f t="shared" si="2"/>
        <v>Испания_Zorra_RND@</v>
      </c>
    </row>
    <row r="47" spans="1:9" ht="30" customHeight="1" x14ac:dyDescent="0.25">
      <c r="A47" s="3" t="s">
        <v>23</v>
      </c>
      <c r="B47" s="4" t="s">
        <v>7</v>
      </c>
      <c r="C47" s="6">
        <v>34919016118</v>
      </c>
      <c r="D47" s="4">
        <f>IF(C47="Random","RND",IF(LEN(C47)&gt;15,"Укоротить",IF(C47="Сим-карты","SIM",C47)))</f>
        <v>34919016118</v>
      </c>
      <c r="E47" s="4" t="s">
        <v>71</v>
      </c>
      <c r="F47" s="4" t="s">
        <v>48</v>
      </c>
      <c r="G47" s="6" t="s">
        <v>12</v>
      </c>
      <c r="H47" s="4" t="s">
        <v>72</v>
      </c>
      <c r="I47" s="4" t="str">
        <f t="shared" si="2"/>
        <v>Испания_Sancom_34919016118_0789pfx@</v>
      </c>
    </row>
    <row r="48" spans="1:9" ht="30" customHeight="1" x14ac:dyDescent="0.25">
      <c r="A48" s="3" t="s">
        <v>23</v>
      </c>
      <c r="B48" s="4" t="s">
        <v>7</v>
      </c>
      <c r="C48" s="6">
        <v>34919016118</v>
      </c>
      <c r="D48" s="4">
        <f t="shared" ref="D48:D50" si="5">IF(C48="Random","RND",IF(LEN(C48)&gt;15,"Укоротить",IF(C48="Сим-карты","SIM",C48)))</f>
        <v>34919016118</v>
      </c>
      <c r="E48" s="4" t="s">
        <v>71</v>
      </c>
      <c r="F48" s="4" t="s">
        <v>48</v>
      </c>
      <c r="G48" s="6" t="s">
        <v>16</v>
      </c>
      <c r="H48" s="4" t="s">
        <v>72</v>
      </c>
      <c r="I48" s="4" t="str">
        <f t="shared" si="2"/>
        <v>Испания_Sancom_34919016118_0827pfx@</v>
      </c>
    </row>
    <row r="49" spans="1:9" ht="30" customHeight="1" x14ac:dyDescent="0.25">
      <c r="A49" s="3" t="s">
        <v>23</v>
      </c>
      <c r="B49" s="4" t="s">
        <v>9</v>
      </c>
      <c r="C49" s="6">
        <v>34919016118</v>
      </c>
      <c r="D49" s="4">
        <f t="shared" si="5"/>
        <v>34919016118</v>
      </c>
      <c r="E49" s="4" t="s">
        <v>71</v>
      </c>
      <c r="F49" s="4" t="s">
        <v>48</v>
      </c>
      <c r="G49" s="6"/>
      <c r="H49" s="4" t="s">
        <v>72</v>
      </c>
      <c r="I49" s="4" t="str">
        <f t="shared" si="2"/>
        <v>Испания_Miatel_34919016118@</v>
      </c>
    </row>
    <row r="50" spans="1:9" ht="30" customHeight="1" x14ac:dyDescent="0.25">
      <c r="A50" s="3" t="s">
        <v>23</v>
      </c>
      <c r="B50" s="4" t="s">
        <v>8</v>
      </c>
      <c r="C50" s="6">
        <v>34919016118</v>
      </c>
      <c r="D50" s="4">
        <f t="shared" si="5"/>
        <v>34919016118</v>
      </c>
      <c r="E50" s="4" t="s">
        <v>71</v>
      </c>
      <c r="F50" s="4" t="s">
        <v>48</v>
      </c>
      <c r="G50" s="6"/>
      <c r="H50" s="4" t="s">
        <v>72</v>
      </c>
      <c r="I50" s="4" t="str">
        <f t="shared" si="2"/>
        <v>Испания_Zorra_34919016118@</v>
      </c>
    </row>
    <row r="51" spans="1:9" ht="30" customHeight="1" x14ac:dyDescent="0.25">
      <c r="A51" s="3" t="s">
        <v>23</v>
      </c>
      <c r="B51" s="4" t="s">
        <v>7</v>
      </c>
      <c r="C51" s="6"/>
      <c r="D51" s="4">
        <f t="shared" ref="D51:D54" si="6">IF(C51="Random","RND",IF(LEN(C51)&gt;15,"Укоротить",IF(C51="Сим-карты","SIM",C51)))</f>
        <v>0</v>
      </c>
      <c r="E51" s="4"/>
      <c r="F51" s="4" t="s">
        <v>48</v>
      </c>
      <c r="G51" s="6" t="s">
        <v>12</v>
      </c>
      <c r="H51" s="4"/>
      <c r="I51" s="4" t="str">
        <f t="shared" si="2"/>
        <v>Нет номера</v>
      </c>
    </row>
    <row r="52" spans="1:9" ht="30" customHeight="1" x14ac:dyDescent="0.25">
      <c r="A52" s="3" t="s">
        <v>23</v>
      </c>
      <c r="B52" s="4" t="s">
        <v>7</v>
      </c>
      <c r="C52" s="6"/>
      <c r="D52" s="4">
        <f t="shared" si="6"/>
        <v>0</v>
      </c>
      <c r="E52" s="4"/>
      <c r="F52" s="4" t="s">
        <v>48</v>
      </c>
      <c r="G52" s="6" t="s">
        <v>16</v>
      </c>
      <c r="H52" s="4"/>
      <c r="I52" s="4" t="str">
        <f t="shared" si="2"/>
        <v>Нет номера</v>
      </c>
    </row>
    <row r="53" spans="1:9" ht="30" customHeight="1" x14ac:dyDescent="0.25">
      <c r="A53" s="3" t="s">
        <v>23</v>
      </c>
      <c r="B53" s="4" t="s">
        <v>9</v>
      </c>
      <c r="C53" s="6"/>
      <c r="D53" s="4">
        <f t="shared" si="6"/>
        <v>0</v>
      </c>
      <c r="E53" s="4"/>
      <c r="F53" s="4" t="s">
        <v>48</v>
      </c>
      <c r="G53" s="6"/>
      <c r="H53" s="4"/>
      <c r="I53" s="4" t="str">
        <f t="shared" si="2"/>
        <v>Нет номера</v>
      </c>
    </row>
    <row r="54" spans="1:9" ht="30" customHeight="1" x14ac:dyDescent="0.25">
      <c r="A54" s="3" t="s">
        <v>23</v>
      </c>
      <c r="B54" s="4" t="s">
        <v>8</v>
      </c>
      <c r="C54" s="6"/>
      <c r="D54" s="4">
        <f t="shared" si="6"/>
        <v>0</v>
      </c>
      <c r="E54" s="4"/>
      <c r="F54" s="4" t="s">
        <v>48</v>
      </c>
      <c r="G54" s="6"/>
      <c r="H54" s="4"/>
      <c r="I54" s="4" t="str">
        <f t="shared" si="2"/>
        <v>Нет номера</v>
      </c>
    </row>
    <row r="55" spans="1:9" ht="30" customHeight="1" x14ac:dyDescent="0.25"/>
    <row r="56" spans="1:9" ht="30" customHeight="1" x14ac:dyDescent="0.25"/>
    <row r="57" spans="1:9" ht="30" customHeight="1" x14ac:dyDescent="0.25"/>
    <row r="58" spans="1:9" ht="30" customHeight="1" x14ac:dyDescent="0.25"/>
    <row r="59" spans="1:9" ht="30" customHeight="1" x14ac:dyDescent="0.25"/>
    <row r="60" spans="1:9" ht="30" customHeight="1" x14ac:dyDescent="0.25"/>
    <row r="61" spans="1:9" ht="30" customHeight="1" x14ac:dyDescent="0.25"/>
    <row r="62" spans="1:9" ht="30" customHeight="1" x14ac:dyDescent="0.25"/>
    <row r="63" spans="1:9" ht="30" customHeight="1" x14ac:dyDescent="0.25"/>
    <row r="64" spans="1:9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  <row r="93" ht="30" customHeight="1" x14ac:dyDescent="0.25"/>
    <row r="94" ht="30" customHeight="1" x14ac:dyDescent="0.25"/>
    <row r="95" ht="30" customHeight="1" x14ac:dyDescent="0.25"/>
    <row r="96" ht="30" customHeight="1" x14ac:dyDescent="0.25"/>
    <row r="97" ht="30" customHeight="1" x14ac:dyDescent="0.25"/>
    <row r="98" ht="30" customHeight="1" x14ac:dyDescent="0.25"/>
    <row r="99" ht="30" customHeight="1" x14ac:dyDescent="0.25"/>
    <row r="100" ht="30" customHeight="1" x14ac:dyDescent="0.25"/>
    <row r="101" ht="30" customHeight="1" x14ac:dyDescent="0.25"/>
    <row r="102" ht="30" customHeight="1" x14ac:dyDescent="0.25"/>
    <row r="103" ht="30" customHeight="1" x14ac:dyDescent="0.25"/>
    <row r="104" ht="30" customHeight="1" x14ac:dyDescent="0.25"/>
    <row r="105" ht="30" customHeight="1" x14ac:dyDescent="0.25"/>
    <row r="106" ht="30" customHeight="1" x14ac:dyDescent="0.25"/>
    <row r="107" ht="30" customHeight="1" x14ac:dyDescent="0.25"/>
    <row r="108" ht="30" customHeight="1" x14ac:dyDescent="0.25"/>
    <row r="109" ht="30" customHeight="1" x14ac:dyDescent="0.25"/>
    <row r="110" ht="30" customHeight="1" x14ac:dyDescent="0.25"/>
    <row r="111" ht="30" customHeight="1" x14ac:dyDescent="0.25"/>
    <row r="112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  <row r="149" ht="30" customHeight="1" x14ac:dyDescent="0.25"/>
    <row r="150" ht="30" customHeight="1" x14ac:dyDescent="0.25"/>
    <row r="151" ht="30" customHeight="1" x14ac:dyDescent="0.25"/>
    <row r="152" ht="30" customHeight="1" x14ac:dyDescent="0.25"/>
    <row r="153" ht="30" customHeight="1" x14ac:dyDescent="0.25"/>
    <row r="154" ht="30" customHeight="1" x14ac:dyDescent="0.25"/>
    <row r="155" ht="30" customHeight="1" x14ac:dyDescent="0.25"/>
    <row r="156" ht="30" customHeight="1" x14ac:dyDescent="0.25"/>
    <row r="157" ht="30" customHeight="1" x14ac:dyDescent="0.25"/>
    <row r="158" ht="30" customHeight="1" x14ac:dyDescent="0.25"/>
    <row r="159" ht="30" customHeight="1" x14ac:dyDescent="0.25"/>
    <row r="160" ht="30" customHeight="1" x14ac:dyDescent="0.25"/>
    <row r="161" ht="30" customHeight="1" x14ac:dyDescent="0.25"/>
    <row r="162" ht="30" customHeight="1" x14ac:dyDescent="0.25"/>
    <row r="163" ht="30" customHeight="1" x14ac:dyDescent="0.25"/>
    <row r="164" ht="30" customHeight="1" x14ac:dyDescent="0.25"/>
    <row r="165" ht="30" customHeight="1" x14ac:dyDescent="0.25"/>
    <row r="166" ht="30" customHeight="1" x14ac:dyDescent="0.25"/>
    <row r="167" ht="30" customHeight="1" x14ac:dyDescent="0.25"/>
    <row r="168" ht="30" customHeight="1" x14ac:dyDescent="0.25"/>
    <row r="169" ht="30" customHeight="1" x14ac:dyDescent="0.25"/>
    <row r="170" ht="30" customHeight="1" x14ac:dyDescent="0.25"/>
    <row r="171" ht="30" customHeight="1" x14ac:dyDescent="0.25"/>
    <row r="172" ht="30" customHeight="1" x14ac:dyDescent="0.25"/>
    <row r="173" ht="30" customHeight="1" x14ac:dyDescent="0.25"/>
    <row r="174" ht="30" customHeight="1" x14ac:dyDescent="0.25"/>
    <row r="175" ht="30" customHeight="1" x14ac:dyDescent="0.25"/>
    <row r="176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  <row r="201" ht="30" customHeight="1" x14ac:dyDescent="0.25"/>
    <row r="202" ht="30" customHeight="1" x14ac:dyDescent="0.25"/>
    <row r="203" ht="30" customHeight="1" x14ac:dyDescent="0.25"/>
    <row r="204" ht="30" customHeight="1" x14ac:dyDescent="0.25"/>
    <row r="205" ht="30" customHeight="1" x14ac:dyDescent="0.25"/>
    <row r="206" ht="30" customHeight="1" x14ac:dyDescent="0.25"/>
    <row r="207" ht="30" customHeight="1" x14ac:dyDescent="0.25"/>
    <row r="208" ht="30" customHeight="1" x14ac:dyDescent="0.25"/>
    <row r="209" ht="30" customHeight="1" x14ac:dyDescent="0.25"/>
    <row r="210" ht="30" customHeight="1" x14ac:dyDescent="0.25"/>
    <row r="211" ht="30" customHeight="1" x14ac:dyDescent="0.25"/>
    <row r="212" ht="30" customHeight="1" x14ac:dyDescent="0.25"/>
    <row r="213" ht="30" customHeight="1" x14ac:dyDescent="0.25"/>
    <row r="214" ht="30" customHeight="1" x14ac:dyDescent="0.25"/>
    <row r="215" ht="30" customHeight="1" x14ac:dyDescent="0.25"/>
    <row r="216" ht="30" customHeight="1" x14ac:dyDescent="0.25"/>
    <row r="217" ht="30" customHeight="1" x14ac:dyDescent="0.25"/>
    <row r="218" ht="30" customHeight="1" x14ac:dyDescent="0.25"/>
    <row r="219" ht="30" customHeight="1" x14ac:dyDescent="0.25"/>
    <row r="220" ht="30" customHeight="1" x14ac:dyDescent="0.25"/>
    <row r="221" ht="30" customHeight="1" x14ac:dyDescent="0.25"/>
    <row r="222" ht="30" customHeight="1" x14ac:dyDescent="0.25"/>
    <row r="223" ht="30" customHeight="1" x14ac:dyDescent="0.25"/>
    <row r="224" ht="30" customHeight="1" x14ac:dyDescent="0.25"/>
    <row r="225" ht="30" customHeight="1" x14ac:dyDescent="0.25"/>
    <row r="226" ht="30" customHeight="1" x14ac:dyDescent="0.25"/>
    <row r="227" ht="30" customHeight="1" x14ac:dyDescent="0.25"/>
    <row r="228" ht="30" customHeight="1" x14ac:dyDescent="0.25"/>
    <row r="229" ht="30" customHeight="1" x14ac:dyDescent="0.25"/>
    <row r="230" ht="30" customHeight="1" x14ac:dyDescent="0.25"/>
    <row r="231" ht="30" customHeight="1" x14ac:dyDescent="0.25"/>
    <row r="232" ht="30" customHeight="1" x14ac:dyDescent="0.25"/>
    <row r="233" ht="30" customHeight="1" x14ac:dyDescent="0.25"/>
    <row r="234" ht="30" customHeight="1" x14ac:dyDescent="0.25"/>
    <row r="235" ht="30" customHeight="1" x14ac:dyDescent="0.25"/>
    <row r="236" ht="30" customHeight="1" x14ac:dyDescent="0.25"/>
    <row r="237" ht="30" customHeight="1" x14ac:dyDescent="0.25"/>
    <row r="238" ht="30" customHeight="1" x14ac:dyDescent="0.25"/>
    <row r="239" ht="30" customHeight="1" x14ac:dyDescent="0.25"/>
    <row r="240" ht="30" customHeight="1" x14ac:dyDescent="0.25"/>
    <row r="241" ht="30" customHeight="1" x14ac:dyDescent="0.25"/>
    <row r="242" ht="30" customHeight="1" x14ac:dyDescent="0.25"/>
    <row r="243" ht="30" customHeight="1" x14ac:dyDescent="0.25"/>
    <row r="244" ht="30" customHeight="1" x14ac:dyDescent="0.25"/>
    <row r="245" ht="30" customHeight="1" x14ac:dyDescent="0.25"/>
    <row r="246" ht="30" customHeight="1" x14ac:dyDescent="0.25"/>
    <row r="247" ht="30" customHeight="1" x14ac:dyDescent="0.25"/>
    <row r="248" ht="30" customHeight="1" x14ac:dyDescent="0.25"/>
    <row r="249" ht="30" customHeight="1" x14ac:dyDescent="0.25"/>
    <row r="250" ht="30" customHeight="1" x14ac:dyDescent="0.25"/>
    <row r="251" ht="30" customHeight="1" x14ac:dyDescent="0.25"/>
    <row r="252" ht="30" customHeight="1" x14ac:dyDescent="0.25"/>
    <row r="253" ht="30" customHeight="1" x14ac:dyDescent="0.25"/>
    <row r="254" ht="30" customHeight="1" x14ac:dyDescent="0.25"/>
    <row r="255" ht="30" customHeight="1" x14ac:dyDescent="0.25"/>
    <row r="256" ht="30" customHeight="1" x14ac:dyDescent="0.25"/>
    <row r="257" ht="30" customHeight="1" x14ac:dyDescent="0.25"/>
    <row r="258" ht="30" customHeight="1" x14ac:dyDescent="0.25"/>
    <row r="259" ht="30" customHeight="1" x14ac:dyDescent="0.25"/>
    <row r="260" ht="30" customHeight="1" x14ac:dyDescent="0.25"/>
    <row r="261" ht="30" customHeight="1" x14ac:dyDescent="0.25"/>
    <row r="262" ht="30" customHeight="1" x14ac:dyDescent="0.25"/>
    <row r="263" ht="30" customHeight="1" x14ac:dyDescent="0.25"/>
    <row r="264" ht="30" customHeight="1" x14ac:dyDescent="0.25"/>
    <row r="265" ht="30" customHeight="1" x14ac:dyDescent="0.25"/>
    <row r="266" ht="30" customHeight="1" x14ac:dyDescent="0.25"/>
    <row r="267" ht="30" customHeight="1" x14ac:dyDescent="0.25"/>
    <row r="268" ht="30" customHeight="1" x14ac:dyDescent="0.25"/>
    <row r="269" ht="30" customHeight="1" x14ac:dyDescent="0.25"/>
    <row r="270" ht="30" customHeight="1" x14ac:dyDescent="0.25"/>
    <row r="271" ht="30" customHeight="1" x14ac:dyDescent="0.25"/>
    <row r="272" ht="30" customHeight="1" x14ac:dyDescent="0.25"/>
    <row r="273" ht="30" customHeight="1" x14ac:dyDescent="0.25"/>
    <row r="274" ht="30" customHeight="1" x14ac:dyDescent="0.25"/>
    <row r="275" ht="30" customHeight="1" x14ac:dyDescent="0.25"/>
    <row r="276" ht="30" customHeight="1" x14ac:dyDescent="0.25"/>
    <row r="277" ht="30" customHeight="1" x14ac:dyDescent="0.25"/>
    <row r="278" ht="30" customHeight="1" x14ac:dyDescent="0.25"/>
    <row r="279" ht="30" customHeight="1" x14ac:dyDescent="0.25"/>
    <row r="280" ht="30" customHeight="1" x14ac:dyDescent="0.25"/>
    <row r="281" ht="30" customHeight="1" x14ac:dyDescent="0.25"/>
    <row r="282" ht="30" customHeight="1" x14ac:dyDescent="0.25"/>
    <row r="283" ht="30" customHeight="1" x14ac:dyDescent="0.25"/>
    <row r="284" ht="30" customHeight="1" x14ac:dyDescent="0.25"/>
    <row r="285" ht="30" customHeight="1" x14ac:dyDescent="0.25"/>
    <row r="286" ht="30" customHeight="1" x14ac:dyDescent="0.25"/>
    <row r="287" ht="30" customHeight="1" x14ac:dyDescent="0.25"/>
    <row r="288" ht="30" customHeight="1" x14ac:dyDescent="0.25"/>
    <row r="289" ht="30" customHeight="1" x14ac:dyDescent="0.25"/>
    <row r="290" ht="30" customHeight="1" x14ac:dyDescent="0.25"/>
    <row r="291" ht="30" customHeight="1" x14ac:dyDescent="0.25"/>
    <row r="292" ht="30" customHeight="1" x14ac:dyDescent="0.25"/>
    <row r="293" ht="30" customHeight="1" x14ac:dyDescent="0.25"/>
    <row r="294" ht="30" customHeight="1" x14ac:dyDescent="0.25"/>
    <row r="295" ht="30" customHeight="1" x14ac:dyDescent="0.25"/>
    <row r="296" ht="30" customHeight="1" x14ac:dyDescent="0.25"/>
    <row r="297" ht="30" customHeight="1" x14ac:dyDescent="0.25"/>
    <row r="298" ht="30" customHeight="1" x14ac:dyDescent="0.25"/>
    <row r="299" ht="30" customHeight="1" x14ac:dyDescent="0.25"/>
    <row r="300" ht="30" customHeight="1" x14ac:dyDescent="0.25"/>
    <row r="301" ht="30" customHeight="1" x14ac:dyDescent="0.25"/>
    <row r="302" ht="30" customHeight="1" x14ac:dyDescent="0.25"/>
    <row r="303" ht="30" customHeight="1" x14ac:dyDescent="0.25"/>
    <row r="304" ht="30" customHeight="1" x14ac:dyDescent="0.25"/>
    <row r="305" ht="30" customHeight="1" x14ac:dyDescent="0.25"/>
    <row r="306" ht="30" customHeight="1" x14ac:dyDescent="0.25"/>
    <row r="307" ht="30" customHeight="1" x14ac:dyDescent="0.25"/>
    <row r="308" ht="30" customHeight="1" x14ac:dyDescent="0.25"/>
    <row r="309" ht="30" customHeight="1" x14ac:dyDescent="0.25"/>
    <row r="310" ht="30" customHeight="1" x14ac:dyDescent="0.25"/>
    <row r="311" ht="30" customHeight="1" x14ac:dyDescent="0.25"/>
    <row r="312" ht="30" customHeight="1" x14ac:dyDescent="0.25"/>
    <row r="313" ht="30" customHeight="1" x14ac:dyDescent="0.25"/>
    <row r="314" ht="30" customHeight="1" x14ac:dyDescent="0.25"/>
    <row r="315" ht="30" customHeight="1" x14ac:dyDescent="0.25"/>
    <row r="316" ht="30" customHeight="1" x14ac:dyDescent="0.25"/>
    <row r="317" ht="30" customHeight="1" x14ac:dyDescent="0.25"/>
    <row r="318" ht="30" customHeight="1" x14ac:dyDescent="0.25"/>
    <row r="319" ht="30" customHeight="1" x14ac:dyDescent="0.25"/>
    <row r="320" ht="30" customHeight="1" x14ac:dyDescent="0.25"/>
    <row r="321" ht="30" customHeight="1" x14ac:dyDescent="0.25"/>
    <row r="322" ht="30" customHeight="1" x14ac:dyDescent="0.25"/>
    <row r="323" ht="30" customHeight="1" x14ac:dyDescent="0.25"/>
    <row r="324" ht="30" customHeight="1" x14ac:dyDescent="0.25"/>
    <row r="325" ht="30" customHeight="1" x14ac:dyDescent="0.25"/>
    <row r="326" ht="30" customHeight="1" x14ac:dyDescent="0.25"/>
    <row r="327" ht="30" customHeight="1" x14ac:dyDescent="0.25"/>
    <row r="328" ht="30" customHeight="1" x14ac:dyDescent="0.25"/>
    <row r="329" ht="30" customHeight="1" x14ac:dyDescent="0.25"/>
    <row r="330" ht="30" customHeight="1" x14ac:dyDescent="0.25"/>
    <row r="331" ht="30" customHeight="1" x14ac:dyDescent="0.25"/>
    <row r="332" ht="30" customHeight="1" x14ac:dyDescent="0.25"/>
    <row r="333" ht="30" customHeight="1" x14ac:dyDescent="0.25"/>
    <row r="334" ht="30" customHeight="1" x14ac:dyDescent="0.25"/>
    <row r="335" ht="30" customHeight="1" x14ac:dyDescent="0.25"/>
    <row r="336" ht="30" customHeight="1" x14ac:dyDescent="0.25"/>
    <row r="337" ht="30" customHeight="1" x14ac:dyDescent="0.25"/>
    <row r="338" ht="30" customHeight="1" x14ac:dyDescent="0.25"/>
    <row r="339" ht="30" customHeight="1" x14ac:dyDescent="0.25"/>
    <row r="340" ht="30" customHeight="1" x14ac:dyDescent="0.25"/>
    <row r="341" ht="30" customHeight="1" x14ac:dyDescent="0.25"/>
    <row r="342" ht="30" customHeight="1" x14ac:dyDescent="0.25"/>
    <row r="343" ht="30" customHeight="1" x14ac:dyDescent="0.25"/>
    <row r="344" ht="30" customHeight="1" x14ac:dyDescent="0.25"/>
    <row r="345" ht="30" customHeight="1" x14ac:dyDescent="0.25"/>
    <row r="346" ht="30" customHeight="1" x14ac:dyDescent="0.25"/>
    <row r="347" ht="30" customHeight="1" x14ac:dyDescent="0.25"/>
    <row r="348" ht="30" customHeight="1" x14ac:dyDescent="0.25"/>
    <row r="349" ht="30" customHeight="1" x14ac:dyDescent="0.25"/>
    <row r="350" ht="30" customHeight="1" x14ac:dyDescent="0.25"/>
    <row r="351" ht="30" customHeight="1" x14ac:dyDescent="0.25"/>
    <row r="352" ht="30" customHeight="1" x14ac:dyDescent="0.25"/>
    <row r="353" ht="30" customHeight="1" x14ac:dyDescent="0.25"/>
    <row r="354" ht="30" customHeight="1" x14ac:dyDescent="0.25"/>
    <row r="355" ht="30" customHeight="1" x14ac:dyDescent="0.25"/>
    <row r="356" ht="30" customHeight="1" x14ac:dyDescent="0.25"/>
    <row r="357" ht="30" customHeight="1" x14ac:dyDescent="0.25"/>
    <row r="358" ht="30" customHeight="1" x14ac:dyDescent="0.25"/>
    <row r="359" ht="30" customHeight="1" x14ac:dyDescent="0.25"/>
    <row r="360" ht="30" customHeight="1" x14ac:dyDescent="0.25"/>
    <row r="361" ht="30" customHeight="1" x14ac:dyDescent="0.25"/>
    <row r="362" ht="30" customHeight="1" x14ac:dyDescent="0.25"/>
    <row r="363" ht="30" customHeight="1" x14ac:dyDescent="0.25"/>
    <row r="364" ht="30" customHeight="1" x14ac:dyDescent="0.25"/>
    <row r="365" ht="30" customHeight="1" x14ac:dyDescent="0.25"/>
    <row r="366" ht="30" customHeight="1" x14ac:dyDescent="0.25"/>
    <row r="367" ht="30" customHeight="1" x14ac:dyDescent="0.25"/>
    <row r="368" ht="30" customHeight="1" x14ac:dyDescent="0.25"/>
    <row r="369" ht="30" customHeight="1" x14ac:dyDescent="0.25"/>
    <row r="370" ht="30" customHeight="1" x14ac:dyDescent="0.25"/>
    <row r="371" ht="30" customHeight="1" x14ac:dyDescent="0.25"/>
    <row r="372" ht="30" customHeight="1" x14ac:dyDescent="0.25"/>
    <row r="373" ht="30" customHeight="1" x14ac:dyDescent="0.25"/>
    <row r="374" ht="30" customHeight="1" x14ac:dyDescent="0.25"/>
    <row r="375" ht="30" customHeight="1" x14ac:dyDescent="0.25"/>
    <row r="376" ht="30" customHeight="1" x14ac:dyDescent="0.25"/>
    <row r="377" ht="30" customHeight="1" x14ac:dyDescent="0.25"/>
    <row r="378" ht="30" customHeight="1" x14ac:dyDescent="0.25"/>
    <row r="379" ht="30" customHeight="1" x14ac:dyDescent="0.25"/>
    <row r="380" ht="30" customHeight="1" x14ac:dyDescent="0.25"/>
    <row r="381" ht="30" customHeight="1" x14ac:dyDescent="0.25"/>
    <row r="382" ht="30" customHeight="1" x14ac:dyDescent="0.25"/>
    <row r="383" ht="30" customHeight="1" x14ac:dyDescent="0.25"/>
    <row r="384" ht="30" customHeight="1" x14ac:dyDescent="0.25"/>
    <row r="385" ht="30" customHeight="1" x14ac:dyDescent="0.25"/>
    <row r="386" ht="30" customHeight="1" x14ac:dyDescent="0.25"/>
    <row r="387" ht="30" customHeight="1" x14ac:dyDescent="0.25"/>
    <row r="388" ht="30" customHeight="1" x14ac:dyDescent="0.25"/>
    <row r="389" ht="30" customHeight="1" x14ac:dyDescent="0.25"/>
    <row r="390" ht="30" customHeight="1" x14ac:dyDescent="0.25"/>
    <row r="391" ht="30" customHeight="1" x14ac:dyDescent="0.25"/>
    <row r="392" ht="30" customHeight="1" x14ac:dyDescent="0.25"/>
    <row r="393" ht="30" customHeight="1" x14ac:dyDescent="0.25"/>
    <row r="394" ht="30" customHeight="1" x14ac:dyDescent="0.25"/>
  </sheetData>
  <phoneticPr fontId="8" type="noConversion"/>
  <conditionalFormatting sqref="D3:D54">
    <cfRule type="cellIs" dxfId="12" priority="2" operator="equal">
      <formula>"Укоротить"</formula>
    </cfRule>
  </conditionalFormatting>
  <conditionalFormatting sqref="I1:I1048576">
    <cfRule type="cellIs" dxfId="11" priority="1" operator="equal">
      <formula>"Нет номера"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Маршруты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Соловьянов Антон Александрович</dc:creator>
  <cp:lastModifiedBy>Gavrilenko Roman</cp:lastModifiedBy>
  <dcterms:created xsi:type="dcterms:W3CDTF">2015-06-05T18:19:34Z</dcterms:created>
  <dcterms:modified xsi:type="dcterms:W3CDTF">2026-06-05T10:00:25Z</dcterms:modified>
</cp:coreProperties>
</file>